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eur" sheetId="1" state="visible" r:id="rId3"/>
    <sheet name="Allocation Portefeuille" sheetId="2" state="visible" r:id="rId4"/>
    <sheet name="Suivi Portefeuille" sheetId="3" state="visible" r:id="rId5"/>
    <sheet name="Guide d'utilis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<sst xmlns="http://schemas.openxmlformats.org/spreadsheetml/2006/main" count="55" uniqueCount="54">
  <si>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Simulateur d'Épargne &amp; Intérêts Composés</t>
  </si>
  <si>
    <t xml:space="preserve">Renseigne les cellules jaunes (colonne C) — tout le reste se calcule automatiquement.</t>
  </si>
  <si>
    <t xml:space="preserve">Capital de départ (€)</t>
  </si>
  <si>
    <t xml:space="preserve">Versement mensuel (€)</t>
  </si>
  <si>
    <t xml:space="preserve">Rendement annuel moyen estimé (%)</t>
  </si>
  <si>
    <t xml:space="preserve">Durée (années)</t>
  </si>
  <si>
    <t xml:space="preserve">Inflation annuelle estimée (%)</t>
  </si>
  <si>
    <t xml:space="preserve">Résultats</t>
  </si>
  <si>
    <t xml:space="preserve">Capital final (nominal)</t>
  </si>
  <si>
    <t xml:space="preserve">Total versé (hors capital initial)</t>
  </si>
  <si>
    <t xml:space="preserve">Total des intérêts générés</t>
  </si>
  <si>
    <t xml:space="preserve">Capital final (pouvoir d'achat actuel)</t>
  </si>
  <si>
    <t xml:space="preserve">Source : formule des intérêts composés avec versements mensuels. Hypothèses de rendement à ajuster selon ton profil de risque — ceci n'est pas un conseil en investissement.</t>
  </si>
  <si>
    <t xml:space="preserve">Année</t>
  </si>
  <si>
    <t xml:space="preserve">Capital en début d'année</t>
  </si>
  <si>
    <t xml:space="preserve">Versements sur l'année</t>
  </si>
  <si>
    <t xml:space="preserve">Intérêts générés</t>
  </si>
  <si>
    <t xml:space="preserve">Capital en fin d'année</t>
  </si>
  <si>
    <t xml:space="preserve">Allocation de Portefeuille</t>
  </si>
  <si>
    <t xml:space="preserve">Définis la répartition cible de ton portefeuille. Le total doit faire 100%.</t>
  </si>
  <si>
    <t xml:space="preserve">Classe d'actif / ETF</t>
  </si>
  <si>
    <t xml:space="preserve">Ticker (exemple)</t>
  </si>
  <si>
    <t xml:space="preserve">% Cible</t>
  </si>
  <si>
    <t xml:space="preserve">Montant investi (€)</t>
  </si>
  <si>
    <t xml:space="preserve">Valeur cible (€)</t>
  </si>
  <si>
    <t xml:space="preserve">Actions monde (large cap)</t>
  </si>
  <si>
    <t xml:space="preserve">IWDA / VWCE</t>
  </si>
  <si>
    <t xml:space="preserve">Actions marchés émergents</t>
  </si>
  <si>
    <t xml:space="preserve">EIMI</t>
  </si>
  <si>
    <t xml:space="preserve">Obligations</t>
  </si>
  <si>
    <t xml:space="preserve">AGGH</t>
  </si>
  <si>
    <t xml:space="preserve">Or / matières premières</t>
  </si>
  <si>
    <t xml:space="preserve">SGLD</t>
  </si>
  <si>
    <t xml:space="preserve">Cash / fonds euro</t>
  </si>
  <si>
    <t xml:space="preserve">-</t>
  </si>
  <si>
    <t xml:space="preserve">Total</t>
  </si>
  <si>
    <t xml:space="preserve">Suivi de Portefeuille ETF</t>
  </si>
  <si>
    <t xml:space="preserve">Mets à jour le prix actuel régulièrement pour suivre ta performance réelle.</t>
  </si>
  <si>
    <t xml:space="preserve">ETF / Ticker</t>
  </si>
  <si>
    <t xml:space="preserve">Quantité</t>
  </si>
  <si>
    <t xml:space="preserve">Prix d'achat moyen (€)</t>
  </si>
  <si>
    <t xml:space="preserve">Prix actuel (€)</t>
  </si>
  <si>
    <t xml:space="preserve">Valeur investie (€)</t>
  </si>
  <si>
    <t xml:space="preserve">Valeur actuelle (€)</t>
  </si>
  <si>
    <t xml:space="preserve">Plus/Moins-value (€)</t>
  </si>
  <si>
    <t xml:space="preserve">Performance (%)</t>
  </si>
  <si>
    <t xml:space="preserve">VWCE (Vanguard FTSE All-World)</t>
  </si>
  <si>
    <t xml:space="preserve">IWDA (iShares Core MSCI World)</t>
  </si>
  <si>
    <t xml:space="preserve">Comment utiliser ce fichier</t>
  </si>
  <si>
    <t xml:space="preserve">1. Onglet 'Simulateur' : renseigne les cellules jaunes (capital de départ, versement mensuel, rendement estimé, durée). Le tableau projette ton épargne année par année.</t>
  </si>
  <si>
    <t xml:space="preserve">2. Onglet 'Allocation Portefeuille' : définis la répartition cible de tes investissements par classe d'actif (% et montants). Remplace les exemples par tes propres lignes.</t>
  </si>
  <si>
    <t xml:space="preserve">3. Onglet 'Suivi Portefeuille' : mets à jour régulièrement le prix actuel de chaque ETF pour suivre ta performance réelle (plus/moins-value).</t>
  </si>
  <si>
    <t xml:space="preserve">4. Toutes les cellules jaunes avec texte bleu sont à modifier. Les autres cellules se calculent automatiquement — ne pas les écraser.</t>
  </si>
  <si>
    <t xml:space="preserve">Avertissement : cet outil est un simulateur éducatif. Les rendements sont des estimations et ne constituent pas une garantie ni un conseil en investissement personnalisé.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</si>
</sst>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0.0%"/>
    <numFmt numFmtId="167" formatCode="0"/>
    <numFmt numFmtId="168" formatCode="0%"/>
    <numFmt numFmtId="169" formatCode="#,##0.00&quot; €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8" min="7" style="0" width="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1000</v>
      </c>
    </row>
    <row r="6" customFormat="false" ht="15" hidden="false" customHeight="false" outlineLevel="0" collapsed="false">
      <c r="B6" s="3" t="s">
        <v>3</v>
      </c>
      <c r="C6" s="4" t="n">
        <v>200</v>
      </c>
    </row>
    <row r="7" customFormat="false" ht="15" hidden="false" customHeight="false" outlineLevel="0" collapsed="false">
      <c r="B7" s="3" t="s">
        <v>4</v>
      </c>
      <c r="C7" s="5" t="n">
        <v>0.07</v>
      </c>
    </row>
    <row r="8" customFormat="false" ht="15" hidden="false" customHeight="false" outlineLevel="0" collapsed="false">
      <c r="B8" s="3" t="s">
        <v>5</v>
      </c>
      <c r="C8" s="6" t="n">
        <v>20</v>
      </c>
    </row>
    <row r="9" customFormat="false" ht="15" hidden="false" customHeight="false" outlineLevel="0" collapsed="false">
      <c r="B9" s="3" t="s">
        <v>6</v>
      </c>
      <c r="C9" s="5" t="n">
        <v>0.02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7" t="s">
        <v>8</v>
      </c>
      <c r="C12" s="8" t="n">
        <f aca="false">INDEX(F21:F60,MATCH($C$8,B21:B60,0))</f>
        <v>105702.487388424</v>
      </c>
    </row>
    <row r="13" customFormat="false" ht="15" hidden="false" customHeight="false" outlineLevel="0" collapsed="false">
      <c r="B13" s="7" t="s">
        <v>9</v>
      </c>
      <c r="C13" s="8" t="n">
        <f aca="false">C6*12*C8</f>
        <v>48000</v>
      </c>
    </row>
    <row r="14" customFormat="false" ht="15" hidden="false" customHeight="false" outlineLevel="0" collapsed="false">
      <c r="B14" s="7" t="s">
        <v>10</v>
      </c>
      <c r="C14" s="8" t="n">
        <f aca="false">C12-C5-C13</f>
        <v>56702.4873884243</v>
      </c>
    </row>
    <row r="15" customFormat="false" ht="15" hidden="false" customHeight="false" outlineLevel="0" collapsed="false">
      <c r="B15" s="7" t="s">
        <v>11</v>
      </c>
      <c r="C15" s="8" t="n">
        <f aca="false">C12/((1+C9)^C8)</f>
        <v>71134.7438506255</v>
      </c>
    </row>
    <row r="17" customFormat="false" ht="27.75" hidden="false" customHeight="true" outlineLevel="0" collapsed="false">
      <c r="B17" s="9" t="s">
        <v>12</v>
      </c>
      <c r="C17" s="9"/>
      <c r="D17" s="9"/>
      <c r="E17" s="9"/>
      <c r="F17" s="9"/>
      <c r="G17" s="9"/>
      <c r="H17" s="9"/>
    </row>
    <row r="20" customFormat="false" ht="26.85" hidden="false" customHeight="false" outlineLevel="0" collapsed="false">
      <c r="B20" s="10" t="s">
        <v>13</v>
      </c>
      <c r="C20" s="10" t="s">
        <v>14</v>
      </c>
      <c r="D20" s="10" t="s">
        <v>15</v>
      </c>
      <c r="E20" s="10" t="s">
        <v>16</v>
      </c>
      <c r="F20" s="10" t="s">
        <v>17</v>
      </c>
    </row>
    <row r="21" customFormat="false" ht="15" hidden="false" customHeight="false" outlineLevel="0" collapsed="false">
      <c r="B21" s="11" t="n">
        <v>1</v>
      </c>
      <c r="C21" s="12" t="n">
        <f aca="false">$C$5</f>
        <v>1000</v>
      </c>
      <c r="D21" s="12" t="n">
        <f aca="false">$C$6*12</f>
        <v>2400</v>
      </c>
      <c r="E21" s="12" t="n">
        <f aca="false">(C21+D21/2)*$C$7</f>
        <v>154</v>
      </c>
      <c r="F21" s="12" t="n">
        <f aca="false">C21+D21+E21</f>
        <v>3554</v>
      </c>
    </row>
    <row r="22" customFormat="false" ht="15" hidden="false" customHeight="false" outlineLevel="0" collapsed="false">
      <c r="B22" s="11" t="n">
        <v>2</v>
      </c>
      <c r="C22" s="12" t="n">
        <f aca="false">F21</f>
        <v>3554</v>
      </c>
      <c r="D22" s="12" t="n">
        <f aca="false">$C$6*12</f>
        <v>2400</v>
      </c>
      <c r="E22" s="12" t="n">
        <f aca="false">(C22+D22/2)*$C$7</f>
        <v>332.78</v>
      </c>
      <c r="F22" s="12" t="n">
        <f aca="false">C22+D22+E22</f>
        <v>6286.78</v>
      </c>
    </row>
    <row r="23" customFormat="false" ht="15" hidden="false" customHeight="false" outlineLevel="0" collapsed="false">
      <c r="B23" s="11" t="n">
        <v>3</v>
      </c>
      <c r="C23" s="12" t="n">
        <f aca="false">F22</f>
        <v>6286.78</v>
      </c>
      <c r="D23" s="12" t="n">
        <f aca="false">$C$6*12</f>
        <v>2400</v>
      </c>
      <c r="E23" s="12" t="n">
        <f aca="false">(C23+D23/2)*$C$7</f>
        <v>524.0746</v>
      </c>
      <c r="F23" s="12" t="n">
        <f aca="false">C23+D23+E23</f>
        <v>9210.8546</v>
      </c>
    </row>
    <row r="24" customFormat="false" ht="15" hidden="false" customHeight="false" outlineLevel="0" collapsed="false">
      <c r="B24" s="11" t="n">
        <v>4</v>
      </c>
      <c r="C24" s="12" t="n">
        <f aca="false">F23</f>
        <v>9210.8546</v>
      </c>
      <c r="D24" s="12" t="n">
        <f aca="false">$C$6*12</f>
        <v>2400</v>
      </c>
      <c r="E24" s="12" t="n">
        <f aca="false">(C24+D24/2)*$C$7</f>
        <v>728.759822</v>
      </c>
      <c r="F24" s="12" t="n">
        <f aca="false">C24+D24+E24</f>
        <v>12339.614422</v>
      </c>
    </row>
    <row r="25" customFormat="false" ht="15" hidden="false" customHeight="false" outlineLevel="0" collapsed="false">
      <c r="B25" s="11" t="n">
        <v>5</v>
      </c>
      <c r="C25" s="12" t="n">
        <f aca="false">F24</f>
        <v>12339.614422</v>
      </c>
      <c r="D25" s="12" t="n">
        <f aca="false">$C$6*12</f>
        <v>2400</v>
      </c>
      <c r="E25" s="12" t="n">
        <f aca="false">(C25+D25/2)*$C$7</f>
        <v>947.77300954</v>
      </c>
      <c r="F25" s="12" t="n">
        <f aca="false">C25+D25+E25</f>
        <v>15687.38743154</v>
      </c>
    </row>
    <row r="26" customFormat="false" ht="15" hidden="false" customHeight="false" outlineLevel="0" collapsed="false">
      <c r="B26" s="11" t="n">
        <v>6</v>
      </c>
      <c r="C26" s="12" t="n">
        <f aca="false">F25</f>
        <v>15687.38743154</v>
      </c>
      <c r="D26" s="12" t="n">
        <f aca="false">$C$6*12</f>
        <v>2400</v>
      </c>
      <c r="E26" s="12" t="n">
        <f aca="false">(C26+D26/2)*$C$7</f>
        <v>1182.1171202078</v>
      </c>
      <c r="F26" s="12" t="n">
        <f aca="false">C26+D26+E26</f>
        <v>19269.5045517478</v>
      </c>
    </row>
    <row r="27" customFormat="false" ht="15" hidden="false" customHeight="false" outlineLevel="0" collapsed="false">
      <c r="B27" s="11" t="n">
        <v>7</v>
      </c>
      <c r="C27" s="12" t="n">
        <f aca="false">F26</f>
        <v>19269.5045517478</v>
      </c>
      <c r="D27" s="12" t="n">
        <f aca="false">$C$6*12</f>
        <v>2400</v>
      </c>
      <c r="E27" s="12" t="n">
        <f aca="false">(C27+D27/2)*$C$7</f>
        <v>1432.86531862235</v>
      </c>
      <c r="F27" s="12" t="n">
        <f aca="false">C27+D27+E27</f>
        <v>23102.3698703701</v>
      </c>
    </row>
    <row r="28" customFormat="false" ht="15" hidden="false" customHeight="false" outlineLevel="0" collapsed="false">
      <c r="B28" s="11" t="n">
        <v>8</v>
      </c>
      <c r="C28" s="12" t="n">
        <f aca="false">F27</f>
        <v>23102.3698703701</v>
      </c>
      <c r="D28" s="12" t="n">
        <f aca="false">$C$6*12</f>
        <v>2400</v>
      </c>
      <c r="E28" s="12" t="n">
        <f aca="false">(C28+D28/2)*$C$7</f>
        <v>1701.16589092591</v>
      </c>
      <c r="F28" s="12" t="n">
        <f aca="false">C28+D28+E28</f>
        <v>27203.5357612961</v>
      </c>
    </row>
    <row r="29" customFormat="false" ht="15" hidden="false" customHeight="false" outlineLevel="0" collapsed="false">
      <c r="B29" s="11" t="n">
        <v>9</v>
      </c>
      <c r="C29" s="12" t="n">
        <f aca="false">F28</f>
        <v>27203.5357612961</v>
      </c>
      <c r="D29" s="12" t="n">
        <f aca="false">$C$6*12</f>
        <v>2400</v>
      </c>
      <c r="E29" s="12" t="n">
        <f aca="false">(C29+D29/2)*$C$7</f>
        <v>1988.24750329072</v>
      </c>
      <c r="F29" s="12" t="n">
        <f aca="false">C29+D29+E29</f>
        <v>31591.7832645868</v>
      </c>
    </row>
    <row r="30" customFormat="false" ht="15" hidden="false" customHeight="false" outlineLevel="0" collapsed="false">
      <c r="B30" s="11" t="n">
        <v>10</v>
      </c>
      <c r="C30" s="12" t="n">
        <f aca="false">F29</f>
        <v>31591.7832645868</v>
      </c>
      <c r="D30" s="12" t="n">
        <f aca="false">$C$6*12</f>
        <v>2400</v>
      </c>
      <c r="E30" s="12" t="n">
        <f aca="false">(C30+D30/2)*$C$7</f>
        <v>2295.42482852107</v>
      </c>
      <c r="F30" s="12" t="n">
        <f aca="false">C30+D30+E30</f>
        <v>36287.2080931079</v>
      </c>
    </row>
    <row r="31" customFormat="false" ht="15" hidden="false" customHeight="false" outlineLevel="0" collapsed="false">
      <c r="B31" s="11" t="n">
        <v>11</v>
      </c>
      <c r="C31" s="12" t="n">
        <f aca="false">F30</f>
        <v>36287.2080931079</v>
      </c>
      <c r="D31" s="12" t="n">
        <f aca="false">$C$6*12</f>
        <v>2400</v>
      </c>
      <c r="E31" s="12" t="n">
        <f aca="false">(C31+D31/2)*$C$7</f>
        <v>2624.10456651755</v>
      </c>
      <c r="F31" s="12" t="n">
        <f aca="false">C31+D31+E31</f>
        <v>41311.3126596254</v>
      </c>
    </row>
    <row r="32" customFormat="false" ht="15" hidden="false" customHeight="false" outlineLevel="0" collapsed="false">
      <c r="B32" s="11" t="n">
        <v>12</v>
      </c>
      <c r="C32" s="12" t="n">
        <f aca="false">F31</f>
        <v>41311.3126596254</v>
      </c>
      <c r="D32" s="12" t="n">
        <f aca="false">$C$6*12</f>
        <v>2400</v>
      </c>
      <c r="E32" s="12" t="n">
        <f aca="false">(C32+D32/2)*$C$7</f>
        <v>2975.79188617378</v>
      </c>
      <c r="F32" s="12" t="n">
        <f aca="false">C32+D32+E32</f>
        <v>46687.1045457992</v>
      </c>
    </row>
    <row r="33" customFormat="false" ht="15" hidden="false" customHeight="false" outlineLevel="0" collapsed="false">
      <c r="B33" s="11" t="n">
        <v>13</v>
      </c>
      <c r="C33" s="12" t="n">
        <f aca="false">F32</f>
        <v>46687.1045457992</v>
      </c>
      <c r="D33" s="12" t="n">
        <f aca="false">$C$6*12</f>
        <v>2400</v>
      </c>
      <c r="E33" s="12" t="n">
        <f aca="false">(C33+D33/2)*$C$7</f>
        <v>3352.09731820594</v>
      </c>
      <c r="F33" s="12" t="n">
        <f aca="false">C33+D33+E33</f>
        <v>52439.2018640051</v>
      </c>
    </row>
    <row r="34" customFormat="false" ht="15" hidden="false" customHeight="false" outlineLevel="0" collapsed="false">
      <c r="B34" s="11" t="n">
        <v>14</v>
      </c>
      <c r="C34" s="12" t="n">
        <f aca="false">F33</f>
        <v>52439.2018640051</v>
      </c>
      <c r="D34" s="12" t="n">
        <f aca="false">$C$6*12</f>
        <v>2400</v>
      </c>
      <c r="E34" s="12" t="n">
        <f aca="false">(C34+D34/2)*$C$7</f>
        <v>3754.74413048036</v>
      </c>
      <c r="F34" s="12" t="n">
        <f aca="false">C34+D34+E34</f>
        <v>58593.9459944855</v>
      </c>
    </row>
    <row r="35" customFormat="false" ht="15" hidden="false" customHeight="false" outlineLevel="0" collapsed="false">
      <c r="B35" s="11" t="n">
        <v>15</v>
      </c>
      <c r="C35" s="12" t="n">
        <f aca="false">F34</f>
        <v>58593.9459944855</v>
      </c>
      <c r="D35" s="12" t="n">
        <f aca="false">$C$6*12</f>
        <v>2400</v>
      </c>
      <c r="E35" s="12" t="n">
        <f aca="false">(C35+D35/2)*$C$7</f>
        <v>4185.57621961398</v>
      </c>
      <c r="F35" s="12" t="n">
        <f aca="false">C35+D35+E35</f>
        <v>65179.5222140995</v>
      </c>
    </row>
    <row r="36" customFormat="false" ht="15" hidden="false" customHeight="false" outlineLevel="0" collapsed="false">
      <c r="B36" s="11" t="n">
        <v>16</v>
      </c>
      <c r="C36" s="12" t="n">
        <f aca="false">F35</f>
        <v>65179.5222140995</v>
      </c>
      <c r="D36" s="12" t="n">
        <f aca="false">$C$6*12</f>
        <v>2400</v>
      </c>
      <c r="E36" s="12" t="n">
        <f aca="false">(C36+D36/2)*$C$7</f>
        <v>4646.56655498696</v>
      </c>
      <c r="F36" s="12" t="n">
        <f aca="false">C36+D36+E36</f>
        <v>72226.0887690864</v>
      </c>
    </row>
    <row r="37" customFormat="false" ht="15" hidden="false" customHeight="false" outlineLevel="0" collapsed="false">
      <c r="B37" s="11" t="n">
        <v>17</v>
      </c>
      <c r="C37" s="12" t="n">
        <f aca="false">F36</f>
        <v>72226.0887690864</v>
      </c>
      <c r="D37" s="12" t="n">
        <f aca="false">$C$6*12</f>
        <v>2400</v>
      </c>
      <c r="E37" s="12" t="n">
        <f aca="false">(C37+D37/2)*$C$7</f>
        <v>5139.82621383605</v>
      </c>
      <c r="F37" s="12" t="n">
        <f aca="false">C37+D37+E37</f>
        <v>79765.9149829225</v>
      </c>
    </row>
    <row r="38" customFormat="false" ht="15" hidden="false" customHeight="false" outlineLevel="0" collapsed="false">
      <c r="B38" s="11" t="n">
        <v>18</v>
      </c>
      <c r="C38" s="12" t="n">
        <f aca="false">F37</f>
        <v>79765.9149829225</v>
      </c>
      <c r="D38" s="12" t="n">
        <f aca="false">$C$6*12</f>
        <v>2400</v>
      </c>
      <c r="E38" s="12" t="n">
        <f aca="false">(C38+D38/2)*$C$7</f>
        <v>5667.61404880457</v>
      </c>
      <c r="F38" s="12" t="n">
        <f aca="false">C38+D38+E38</f>
        <v>87833.5290317271</v>
      </c>
    </row>
    <row r="39" customFormat="false" ht="15" hidden="false" customHeight="false" outlineLevel="0" collapsed="false">
      <c r="B39" s="11" t="n">
        <v>19</v>
      </c>
      <c r="C39" s="12" t="n">
        <f aca="false">F38</f>
        <v>87833.5290317271</v>
      </c>
      <c r="D39" s="12" t="n">
        <f aca="false">$C$6*12</f>
        <v>2400</v>
      </c>
      <c r="E39" s="12" t="n">
        <f aca="false">(C39+D39/2)*$C$7</f>
        <v>6232.34703222089</v>
      </c>
      <c r="F39" s="12" t="n">
        <f aca="false">C39+D39+E39</f>
        <v>96465.8760639479</v>
      </c>
    </row>
    <row r="40" customFormat="false" ht="15" hidden="false" customHeight="false" outlineLevel="0" collapsed="false">
      <c r="B40" s="11" t="n">
        <v>20</v>
      </c>
      <c r="C40" s="12" t="n">
        <f aca="false">F39</f>
        <v>96465.8760639479</v>
      </c>
      <c r="D40" s="12" t="n">
        <f aca="false">$C$6*12</f>
        <v>2400</v>
      </c>
      <c r="E40" s="12" t="n">
        <f aca="false">(C40+D40/2)*$C$7</f>
        <v>6836.61132447636</v>
      </c>
      <c r="F40" s="12" t="n">
        <f aca="false">C40+D40+E40</f>
        <v>105702.487388424</v>
      </c>
    </row>
    <row r="41" customFormat="false" ht="15" hidden="false" customHeight="false" outlineLevel="0" collapsed="false">
      <c r="B41" s="11" t="n">
        <v>21</v>
      </c>
      <c r="C41" s="12" t="n">
        <f aca="false">F40</f>
        <v>105702.487388424</v>
      </c>
      <c r="D41" s="12" t="n">
        <f aca="false">$C$6*12</f>
        <v>2400</v>
      </c>
      <c r="E41" s="12" t="n">
        <f aca="false">(C41+D41/2)*$C$7</f>
        <v>7483.1741171897</v>
      </c>
      <c r="F41" s="12" t="n">
        <f aca="false">C41+D41+E41</f>
        <v>115585.661505614</v>
      </c>
    </row>
    <row r="42" customFormat="false" ht="15" hidden="false" customHeight="false" outlineLevel="0" collapsed="false">
      <c r="B42" s="11" t="n">
        <v>22</v>
      </c>
      <c r="C42" s="12" t="n">
        <f aca="false">F41</f>
        <v>115585.661505614</v>
      </c>
      <c r="D42" s="12" t="n">
        <f aca="false">$C$6*12</f>
        <v>2400</v>
      </c>
      <c r="E42" s="12" t="n">
        <f aca="false">(C42+D42/2)*$C$7</f>
        <v>8174.99630539298</v>
      </c>
      <c r="F42" s="12" t="n">
        <f aca="false">C42+D42+E42</f>
        <v>126160.657811007</v>
      </c>
    </row>
    <row r="43" customFormat="false" ht="15" hidden="false" customHeight="false" outlineLevel="0" collapsed="false">
      <c r="B43" s="11" t="n">
        <v>23</v>
      </c>
      <c r="C43" s="12" t="n">
        <f aca="false">F42</f>
        <v>126160.657811007</v>
      </c>
      <c r="D43" s="12" t="n">
        <f aca="false">$C$6*12</f>
        <v>2400</v>
      </c>
      <c r="E43" s="12" t="n">
        <f aca="false">(C43+D43/2)*$C$7</f>
        <v>8915.24604677049</v>
      </c>
      <c r="F43" s="12" t="n">
        <f aca="false">C43+D43+E43</f>
        <v>137475.903857777</v>
      </c>
    </row>
    <row r="44" customFormat="false" ht="15" hidden="false" customHeight="false" outlineLevel="0" collapsed="false">
      <c r="B44" s="11" t="n">
        <v>24</v>
      </c>
      <c r="C44" s="12" t="n">
        <f aca="false">F43</f>
        <v>137475.903857777</v>
      </c>
      <c r="D44" s="12" t="n">
        <f aca="false">$C$6*12</f>
        <v>2400</v>
      </c>
      <c r="E44" s="12" t="n">
        <f aca="false">(C44+D44/2)*$C$7</f>
        <v>9707.31327004442</v>
      </c>
      <c r="F44" s="12" t="n">
        <f aca="false">C44+D44+E44</f>
        <v>149583.217127822</v>
      </c>
    </row>
    <row r="45" customFormat="false" ht="15" hidden="false" customHeight="false" outlineLevel="0" collapsed="false">
      <c r="B45" s="11" t="n">
        <v>25</v>
      </c>
      <c r="C45" s="12" t="n">
        <f aca="false">F44</f>
        <v>149583.217127822</v>
      </c>
      <c r="D45" s="12" t="n">
        <f aca="false">$C$6*12</f>
        <v>2400</v>
      </c>
      <c r="E45" s="12" t="n">
        <f aca="false">(C45+D45/2)*$C$7</f>
        <v>10554.8251989475</v>
      </c>
      <c r="F45" s="12" t="n">
        <f aca="false">C45+D45+E45</f>
        <v>162538.042326769</v>
      </c>
    </row>
    <row r="46" customFormat="false" ht="15" hidden="false" customHeight="false" outlineLevel="0" collapsed="false">
      <c r="B46" s="11" t="n">
        <v>26</v>
      </c>
      <c r="C46" s="12" t="n">
        <f aca="false">F45</f>
        <v>162538.042326769</v>
      </c>
      <c r="D46" s="12" t="n">
        <f aca="false">$C$6*12</f>
        <v>2400</v>
      </c>
      <c r="E46" s="12" t="n">
        <f aca="false">(C46+D46/2)*$C$7</f>
        <v>11461.6629628739</v>
      </c>
      <c r="F46" s="12" t="n">
        <f aca="false">C46+D46+E46</f>
        <v>176399.705289643</v>
      </c>
    </row>
    <row r="47" customFormat="false" ht="15" hidden="false" customHeight="false" outlineLevel="0" collapsed="false">
      <c r="B47" s="11" t="n">
        <v>27</v>
      </c>
      <c r="C47" s="12" t="n">
        <f aca="false">F46</f>
        <v>176399.705289643</v>
      </c>
      <c r="D47" s="12" t="n">
        <f aca="false">$C$6*12</f>
        <v>2400</v>
      </c>
      <c r="E47" s="12" t="n">
        <f aca="false">(C47+D47/2)*$C$7</f>
        <v>12431.979370275</v>
      </c>
      <c r="F47" s="12" t="n">
        <f aca="false">C47+D47+E47</f>
        <v>191231.684659918</v>
      </c>
    </row>
    <row r="48" customFormat="false" ht="15" hidden="false" customHeight="false" outlineLevel="0" collapsed="false">
      <c r="B48" s="11" t="n">
        <v>28</v>
      </c>
      <c r="C48" s="12" t="n">
        <f aca="false">F47</f>
        <v>191231.684659918</v>
      </c>
      <c r="D48" s="12" t="n">
        <f aca="false">$C$6*12</f>
        <v>2400</v>
      </c>
      <c r="E48" s="12" t="n">
        <f aca="false">(C48+D48/2)*$C$7</f>
        <v>13470.2179261943</v>
      </c>
      <c r="F48" s="12" t="n">
        <f aca="false">C48+D48+E48</f>
        <v>207101.902586113</v>
      </c>
    </row>
    <row r="49" customFormat="false" ht="15" hidden="false" customHeight="false" outlineLevel="0" collapsed="false">
      <c r="B49" s="11" t="n">
        <v>29</v>
      </c>
      <c r="C49" s="12" t="n">
        <f aca="false">F48</f>
        <v>207101.902586113</v>
      </c>
      <c r="D49" s="12" t="n">
        <f aca="false">$C$6*12</f>
        <v>2400</v>
      </c>
      <c r="E49" s="12" t="n">
        <f aca="false">(C49+D49/2)*$C$7</f>
        <v>14581.1331810279</v>
      </c>
      <c r="F49" s="12" t="n">
        <f aca="false">C49+D49+E49</f>
        <v>224083.035767141</v>
      </c>
    </row>
    <row r="50" customFormat="false" ht="15" hidden="false" customHeight="false" outlineLevel="0" collapsed="false">
      <c r="B50" s="11" t="n">
        <v>30</v>
      </c>
      <c r="C50" s="12" t="n">
        <f aca="false">F49</f>
        <v>224083.035767141</v>
      </c>
      <c r="D50" s="12" t="n">
        <f aca="false">$C$6*12</f>
        <v>2400</v>
      </c>
      <c r="E50" s="12" t="n">
        <f aca="false">(C50+D50/2)*$C$7</f>
        <v>15769.8125036998</v>
      </c>
      <c r="F50" s="12" t="n">
        <f aca="false">C50+D50+E50</f>
        <v>242252.84827084</v>
      </c>
    </row>
    <row r="51" customFormat="false" ht="15" hidden="false" customHeight="false" outlineLevel="0" collapsed="false">
      <c r="B51" s="11" t="n">
        <v>31</v>
      </c>
      <c r="C51" s="12" t="n">
        <f aca="false">F50</f>
        <v>242252.84827084</v>
      </c>
      <c r="D51" s="12" t="n">
        <f aca="false">$C$6*12</f>
        <v>2400</v>
      </c>
      <c r="E51" s="12" t="n">
        <f aca="false">(C51+D51/2)*$C$7</f>
        <v>17041.6993789588</v>
      </c>
      <c r="F51" s="12" t="n">
        <f aca="false">C51+D51+E51</f>
        <v>261694.547649799</v>
      </c>
    </row>
    <row r="52" customFormat="false" ht="15" hidden="false" customHeight="false" outlineLevel="0" collapsed="false">
      <c r="B52" s="11" t="n">
        <v>32</v>
      </c>
      <c r="C52" s="12" t="n">
        <f aca="false">F51</f>
        <v>261694.547649799</v>
      </c>
      <c r="D52" s="12" t="n">
        <f aca="false">$C$6*12</f>
        <v>2400</v>
      </c>
      <c r="E52" s="12" t="n">
        <f aca="false">(C52+D52/2)*$C$7</f>
        <v>18402.6183354859</v>
      </c>
      <c r="F52" s="12" t="n">
        <f aca="false">C52+D52+E52</f>
        <v>282497.165985285</v>
      </c>
    </row>
    <row r="53" customFormat="false" ht="15" hidden="false" customHeight="false" outlineLevel="0" collapsed="false">
      <c r="B53" s="11" t="n">
        <v>33</v>
      </c>
      <c r="C53" s="12" t="n">
        <f aca="false">F52</f>
        <v>282497.165985285</v>
      </c>
      <c r="D53" s="12" t="n">
        <f aca="false">$C$6*12</f>
        <v>2400</v>
      </c>
      <c r="E53" s="12" t="n">
        <f aca="false">(C53+D53/2)*$C$7</f>
        <v>19858.80161897</v>
      </c>
      <c r="F53" s="12" t="n">
        <f aca="false">C53+D53+E53</f>
        <v>304755.967604255</v>
      </c>
    </row>
    <row r="54" customFormat="false" ht="15" hidden="false" customHeight="false" outlineLevel="0" collapsed="false">
      <c r="B54" s="11" t="n">
        <v>34</v>
      </c>
      <c r="C54" s="12" t="n">
        <f aca="false">F53</f>
        <v>304755.967604255</v>
      </c>
      <c r="D54" s="12" t="n">
        <f aca="false">$C$6*12</f>
        <v>2400</v>
      </c>
      <c r="E54" s="12" t="n">
        <f aca="false">(C54+D54/2)*$C$7</f>
        <v>21416.9177322979</v>
      </c>
      <c r="F54" s="12" t="n">
        <f aca="false">C54+D54+E54</f>
        <v>328572.885336553</v>
      </c>
    </row>
    <row r="55" customFormat="false" ht="15" hidden="false" customHeight="false" outlineLevel="0" collapsed="false">
      <c r="B55" s="11" t="n">
        <v>35</v>
      </c>
      <c r="C55" s="12" t="n">
        <f aca="false">F54</f>
        <v>328572.885336553</v>
      </c>
      <c r="D55" s="12" t="n">
        <f aca="false">$C$6*12</f>
        <v>2400</v>
      </c>
      <c r="E55" s="12" t="n">
        <f aca="false">(C55+D55/2)*$C$7</f>
        <v>23084.1019735587</v>
      </c>
      <c r="F55" s="12" t="n">
        <f aca="false">C55+D55+E55</f>
        <v>354056.987310112</v>
      </c>
    </row>
    <row r="56" customFormat="false" ht="15" hidden="false" customHeight="false" outlineLevel="0" collapsed="false">
      <c r="B56" s="11" t="n">
        <v>36</v>
      </c>
      <c r="C56" s="12" t="n">
        <f aca="false">F55</f>
        <v>354056.987310112</v>
      </c>
      <c r="D56" s="12" t="n">
        <f aca="false">$C$6*12</f>
        <v>2400</v>
      </c>
      <c r="E56" s="12" t="n">
        <f aca="false">(C56+D56/2)*$C$7</f>
        <v>24867.9891117078</v>
      </c>
      <c r="F56" s="12" t="n">
        <f aca="false">C56+D56+E56</f>
        <v>381324.976421819</v>
      </c>
    </row>
    <row r="57" customFormat="false" ht="15" hidden="false" customHeight="false" outlineLevel="0" collapsed="false">
      <c r="B57" s="11" t="n">
        <v>37</v>
      </c>
      <c r="C57" s="12" t="n">
        <f aca="false">F56</f>
        <v>381324.976421819</v>
      </c>
      <c r="D57" s="12" t="n">
        <f aca="false">$C$6*12</f>
        <v>2400</v>
      </c>
      <c r="E57" s="12" t="n">
        <f aca="false">(C57+D57/2)*$C$7</f>
        <v>26776.7483495274</v>
      </c>
      <c r="F57" s="12" t="n">
        <f aca="false">C57+D57+E57</f>
        <v>410501.724771347</v>
      </c>
    </row>
    <row r="58" customFormat="false" ht="15" hidden="false" customHeight="false" outlineLevel="0" collapsed="false">
      <c r="B58" s="11" t="n">
        <v>38</v>
      </c>
      <c r="C58" s="12" t="n">
        <f aca="false">F57</f>
        <v>410501.724771347</v>
      </c>
      <c r="D58" s="12" t="n">
        <f aca="false">$C$6*12</f>
        <v>2400</v>
      </c>
      <c r="E58" s="12" t="n">
        <f aca="false">(C58+D58/2)*$C$7</f>
        <v>28819.1207339943</v>
      </c>
      <c r="F58" s="12" t="n">
        <f aca="false">C58+D58+E58</f>
        <v>441720.845505341</v>
      </c>
    </row>
    <row r="59" customFormat="false" ht="15" hidden="false" customHeight="false" outlineLevel="0" collapsed="false">
      <c r="B59" s="11" t="n">
        <v>39</v>
      </c>
      <c r="C59" s="12" t="n">
        <f aca="false">F58</f>
        <v>441720.845505341</v>
      </c>
      <c r="D59" s="12" t="n">
        <f aca="false">$C$6*12</f>
        <v>2400</v>
      </c>
      <c r="E59" s="12" t="n">
        <f aca="false">(C59+D59/2)*$C$7</f>
        <v>31004.4591853739</v>
      </c>
      <c r="F59" s="12" t="n">
        <f aca="false">C59+D59+E59</f>
        <v>475125.304690715</v>
      </c>
    </row>
    <row r="60" customFormat="false" ht="15" hidden="false" customHeight="false" outlineLevel="0" collapsed="false">
      <c r="B60" s="11" t="n">
        <v>40</v>
      </c>
      <c r="C60" s="12" t="n">
        <f aca="false">F59</f>
        <v>475125.304690715</v>
      </c>
      <c r="D60" s="12" t="n">
        <f aca="false">$C$6*12</f>
        <v>2400</v>
      </c>
      <c r="E60" s="12" t="n">
        <f aca="false">(C60+D60/2)*$C$7</f>
        <v>33342.7713283501</v>
      </c>
      <c r="F60" s="12" t="n">
        <f aca="false">C60+D60+E60</f>
        <v>510868.076019065</v>
      </c>
    </row>
  </sheetData>
  <mergeCells count="1"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18</v>
      </c>
    </row>
    <row r="3" customFormat="false" ht="15" hidden="false" customHeight="false" outlineLevel="0" collapsed="false">
      <c r="B3" s="2" t="s">
        <v>19</v>
      </c>
    </row>
    <row r="5" customFormat="false" ht="26.85" hidden="false" customHeight="false" outlineLevel="0" collapsed="false"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</row>
    <row r="6" customFormat="false" ht="15" hidden="false" customHeight="false" outlineLevel="0" collapsed="false">
      <c r="B6" s="13" t="s">
        <v>25</v>
      </c>
      <c r="C6" s="13" t="s">
        <v>26</v>
      </c>
      <c r="D6" s="14" t="n">
        <v>0.5</v>
      </c>
      <c r="E6" s="4" t="n">
        <v>5000</v>
      </c>
      <c r="F6" s="15" t="n">
        <f aca="false">D6*SUM($E$6:$E$10)/SUM($D$6:$D$10)</f>
        <v>12500</v>
      </c>
    </row>
    <row r="7" customFormat="false" ht="15" hidden="false" customHeight="false" outlineLevel="0" collapsed="false">
      <c r="B7" s="13" t="s">
        <v>27</v>
      </c>
      <c r="C7" s="13" t="s">
        <v>28</v>
      </c>
      <c r="D7" s="14" t="n">
        <v>0.15</v>
      </c>
      <c r="E7" s="4" t="n">
        <v>5000</v>
      </c>
      <c r="F7" s="15" t="n">
        <f aca="false">D7*SUM($E$6:$E$10)/SUM($D$6:$D$10)</f>
        <v>3750</v>
      </c>
    </row>
    <row r="8" customFormat="false" ht="15" hidden="false" customHeight="false" outlineLevel="0" collapsed="false">
      <c r="B8" s="13" t="s">
        <v>29</v>
      </c>
      <c r="C8" s="13" t="s">
        <v>30</v>
      </c>
      <c r="D8" s="14" t="n">
        <v>0.2</v>
      </c>
      <c r="E8" s="4" t="n">
        <v>5000</v>
      </c>
      <c r="F8" s="15" t="n">
        <f aca="false">D8*SUM($E$6:$E$10)/SUM($D$6:$D$10)</f>
        <v>5000</v>
      </c>
    </row>
    <row r="9" customFormat="false" ht="15" hidden="false" customHeight="false" outlineLevel="0" collapsed="false">
      <c r="B9" s="13" t="s">
        <v>31</v>
      </c>
      <c r="C9" s="13" t="s">
        <v>32</v>
      </c>
      <c r="D9" s="14" t="n">
        <v>0.05</v>
      </c>
      <c r="E9" s="4" t="n">
        <v>5000</v>
      </c>
      <c r="F9" s="15" t="n">
        <f aca="false">D9*SUM($E$6:$E$10)/SUM($D$6:$D$10)</f>
        <v>1250</v>
      </c>
    </row>
    <row r="10" customFormat="false" ht="15" hidden="false" customHeight="false" outlineLevel="0" collapsed="false">
      <c r="B10" s="13" t="s">
        <v>33</v>
      </c>
      <c r="C10" s="13" t="s">
        <v>34</v>
      </c>
      <c r="D10" s="14" t="n">
        <v>0.1</v>
      </c>
      <c r="E10" s="4" t="n">
        <v>5000</v>
      </c>
      <c r="F10" s="15" t="n">
        <f aca="false">D10*SUM($E$6:$E$10)/SUM($D$6:$D$10)</f>
        <v>2500</v>
      </c>
    </row>
    <row r="11" customFormat="false" ht="15" hidden="false" customHeight="false" outlineLevel="0" collapsed="false">
      <c r="B11" s="16" t="s">
        <v>35</v>
      </c>
      <c r="C11" s="16"/>
      <c r="D11" s="17" t="n">
        <f aca="false">SUM(D6:D10)</f>
        <v>1</v>
      </c>
      <c r="E11" s="18" t="n">
        <f aca="false">SUM(E6:E10)</f>
        <v>25000</v>
      </c>
      <c r="F1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2"/>
  </cols>
  <sheetData>
    <row r="2" customFormat="false" ht="19.7" hidden="false" customHeight="false" outlineLevel="0" collapsed="false">
      <c r="B2" s="1" t="s">
        <v>36</v>
      </c>
    </row>
    <row r="3" customFormat="false" ht="15" hidden="false" customHeight="false" outlineLevel="0" collapsed="false">
      <c r="B3" s="2" t="s">
        <v>37</v>
      </c>
    </row>
    <row r="5" customFormat="false" ht="26.85" hidden="false" customHeight="false" outlineLevel="0" collapsed="false">
      <c r="B5" s="10" t="s">
        <v>38</v>
      </c>
      <c r="C5" s="10" t="s">
        <v>39</v>
      </c>
      <c r="D5" s="10" t="s">
        <v>40</v>
      </c>
      <c r="E5" s="10" t="s">
        <v>41</v>
      </c>
      <c r="F5" s="10" t="s">
        <v>42</v>
      </c>
      <c r="G5" s="10" t="s">
        <v>43</v>
      </c>
      <c r="H5" s="10" t="s">
        <v>44</v>
      </c>
      <c r="I5" s="10" t="s">
        <v>45</v>
      </c>
    </row>
    <row r="6" customFormat="false" ht="15" hidden="false" customHeight="false" outlineLevel="0" collapsed="false">
      <c r="B6" s="11" t="s">
        <v>46</v>
      </c>
      <c r="C6" s="19" t="n">
        <v>25</v>
      </c>
      <c r="D6" s="20" t="n">
        <v>105.2</v>
      </c>
      <c r="E6" s="20" t="n">
        <v>112.4</v>
      </c>
      <c r="F6" s="21" t="n">
        <f aca="false">C6*D6</f>
        <v>2630</v>
      </c>
      <c r="G6" s="21" t="n">
        <f aca="false">C6*E6</f>
        <v>2810</v>
      </c>
      <c r="H6" s="21" t="n">
        <f aca="false">G6-F6</f>
        <v>180</v>
      </c>
      <c r="I6" s="22" t="n">
        <f aca="false">IFERROR(H6/F6,0)</f>
        <v>0.0684410646387833</v>
      </c>
    </row>
    <row r="7" customFormat="false" ht="15" hidden="false" customHeight="false" outlineLevel="0" collapsed="false">
      <c r="B7" s="11" t="s">
        <v>47</v>
      </c>
      <c r="C7" s="19" t="n">
        <v>10</v>
      </c>
      <c r="D7" s="20" t="n">
        <v>78.5</v>
      </c>
      <c r="E7" s="20" t="n">
        <v>81.1</v>
      </c>
      <c r="F7" s="21" t="n">
        <f aca="false">C7*D7</f>
        <v>785</v>
      </c>
      <c r="G7" s="21" t="n">
        <f aca="false">C7*E7</f>
        <v>811</v>
      </c>
      <c r="H7" s="21" t="n">
        <f aca="false">G7-F7</f>
        <v>26</v>
      </c>
      <c r="I7" s="22" t="n">
        <f aca="false">IFERROR(H7/F7,0)</f>
        <v>0.0331210191082803</v>
      </c>
    </row>
    <row r="8" customFormat="false" ht="15" hidden="false" customHeight="false" outlineLevel="0" collapsed="false">
      <c r="B8" s="16" t="s">
        <v>35</v>
      </c>
      <c r="C8" s="16"/>
      <c r="D8" s="16"/>
      <c r="E8" s="16"/>
      <c r="F8" s="23" t="n">
        <f aca="false">SUM(F6:F7)</f>
        <v>3415</v>
      </c>
      <c r="G8" s="23" t="n">
        <f aca="false">SUM(G6:G7)</f>
        <v>3621</v>
      </c>
      <c r="H8" s="23" t="n">
        <f aca="false">SUM(H6:H7)</f>
        <v>206</v>
      </c>
      <c r="I8" s="24" t="n">
        <f aca="false">IFERROR(H8/F8,0)</f>
        <v>0.0603221083455344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48</v>
      </c>
    </row>
    <row r="4" customFormat="false" ht="30" hidden="false" customHeight="true" outlineLevel="0" collapsed="false">
      <c r="B4" s="25" t="s">
        <v>49</v>
      </c>
      <c r="C4" s="25"/>
      <c r="D4" s="25"/>
      <c r="E4" s="25"/>
      <c r="F4" s="25"/>
      <c r="G4" s="25"/>
      <c r="H4" s="25"/>
    </row>
    <row r="5" customFormat="false" ht="30" hidden="false" customHeight="true" outlineLevel="0" collapsed="false">
      <c r="B5" s="25" t="s">
        <v>50</v>
      </c>
      <c r="C5" s="25"/>
      <c r="D5" s="25"/>
      <c r="E5" s="25"/>
      <c r="F5" s="25"/>
      <c r="G5" s="25"/>
      <c r="H5" s="25"/>
    </row>
    <row r="6" customFormat="false" ht="30" hidden="false" customHeight="true" outlineLevel="0" collapsed="false">
      <c r="B6" s="25" t="s">
        <v>51</v>
      </c>
      <c r="C6" s="25"/>
      <c r="D6" s="25"/>
      <c r="E6" s="25"/>
      <c r="F6" s="25"/>
      <c r="G6" s="25"/>
      <c r="H6" s="25"/>
    </row>
    <row r="7" customFormat="false" ht="30" hidden="false" customHeight="true" outlineLevel="0" collapsed="false">
      <c r="B7" s="25" t="s">
        <v>52</v>
      </c>
      <c r="C7" s="25"/>
      <c r="D7" s="25"/>
      <c r="E7" s="25"/>
      <c r="F7" s="25"/>
      <c r="G7" s="25"/>
      <c r="H7" s="25"/>
    </row>
    <row r="8" customFormat="false" ht="30" hidden="false" customHeight="true" outlineLevel="0" collapsed="false">
      <c r="B8" s="25"/>
      <c r="C8" s="25"/>
      <c r="D8" s="25"/>
      <c r="E8" s="25"/>
      <c r="F8" s="25"/>
      <c r="G8" s="25"/>
      <c r="H8" s="25"/>
    </row>
    <row r="9" customFormat="false" ht="30" hidden="false" customHeight="true" outlineLevel="0" collapsed="false">
      <c r="B9" s="25" t="s">
        <v>53</v>
      </c>
      <c r="C9" s="25"/>
      <c r="D9" s="25"/>
      <c r="E9" s="25"/>
      <c r="F9" s="25"/>
      <c r="G9" s="25"/>
      <c r="H9" s="25"/>
    </row>
  </sheetData>
  <mergeCells count="6">
    <mergeCell ref="B4:H4"/>
    <mergeCell ref="B5:H5"/>
    <mergeCell ref="B6:H6"/>
    <mergeCell ref="B7:H7"/>
    <mergeCell ref="B8:H8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2026-09-03T18:49:38Z</dcterms:created>
  <dc:creator>openpyxl</dc:creator>
  <dc:description/>
  <dc:language>en-US</dc:language>
  <cp:lastModifiedBy/>
  <dcterms:modified xsi:type="dcterms:W3CDTF">2026-09-03T18:49:38Z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