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eur multi-scénarios" sheetId="1" state="visible" r:id="rId1"/>
    <sheet name="Comparateur courtiers" sheetId="2" state="visible" r:id="rId2"/>
    <sheet name="Taxe plus-values 2026" sheetId="3" state="visible" r:id="rId3"/>
    <sheet name="Checklist 1er compte-titres" sheetId="4" state="visible" r:id="rId4"/>
    <sheet name="Suivi portefeuille" sheetId="5" state="visible" r:id="rId5"/>
    <sheet name="VIP — Stress-test krach" sheetId="6" state="visible" r:id="rId6"/>
    <sheet name="VIP — Plan FIRE avancé" sheetId="7" state="visible" r:id="rId7"/>
    <sheet name="Elite — Véhicules fiscaux BE" sheetId="8" state="visible" r:id="rId8"/>
    <sheet name="Elite — Plan multi-objectif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b val="1"/>
      <color rgb="00101E33"/>
      <sz val="16"/>
    </font>
    <font>
      <i val="1"/>
      <color rgb="006B7280"/>
      <sz val="10"/>
    </font>
    <font>
      <b val="1"/>
    </font>
    <font>
      <b val="1"/>
      <color rgb="00101E33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BF3E3"/>
      </patternFill>
    </fill>
    <fill>
      <patternFill patternType="solid">
        <fgColor rgb="00101E33"/>
      </patternFill>
    </fill>
  </fills>
  <borders count="2">
    <border>
      <left/>
      <right/>
      <top/>
      <bottom/>
      <diagonal/>
    </border>
    <border>
      <left style="thin">
        <color rgb="00E4E0D6"/>
      </left>
      <right style="thin">
        <color rgb="00E4E0D6"/>
      </right>
      <top style="thin">
        <color rgb="00E4E0D6"/>
      </top>
      <bottom style="thin">
        <color rgb="00E4E0D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3" borderId="0" applyAlignment="1" pivotButton="0" quotePrefix="0" xfId="0">
      <alignment vertical="center"/>
    </xf>
    <xf numFmtId="0" fontId="0" fillId="0" borderId="1" pivotButton="0" quotePrefix="0" xfId="0"/>
    <xf numFmtId="10" fontId="0" fillId="0" borderId="1" pivotButton="0" quotePrefix="0" xfId="0"/>
    <xf numFmtId="164" fontId="0" fillId="0" borderId="1" pivotButton="0" quotePrefix="0" xfId="0"/>
    <xf numFmtId="164" fontId="4" fillId="2" borderId="1" pivotButton="0" quotePrefix="0" xfId="0"/>
    <xf numFmtId="9" fontId="4" fillId="2" borderId="1" pivotButton="0" quotePrefix="0" xfId="0"/>
    <xf numFmtId="164" fontId="0" fillId="0" borderId="0" pivotButton="0" quotePrefix="0" xfId="0"/>
    <xf numFmtId="164" fontId="3" fillId="0" borderId="0" pivotButton="0" quotePrefix="0" xfId="0"/>
    <xf numFmtId="10" fontId="3" fillId="0" borderId="0" pivotButton="0" quotePrefix="0" xfId="0"/>
    <xf numFmtId="10" fontId="4" fillId="2" borderId="1" pivotButton="0" quotePrefix="0" xfId="0"/>
    <xf numFmtId="164" fontId="4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Impact d'un krach sur la trajectoire du capital</a:t>
            </a:r>
          </a:p>
        </rich>
      </tx>
    </title>
    <plotArea>
      <lineChart>
        <grouping val="standard"/>
        <ser>
          <idx val="0"/>
          <order val="0"/>
          <tx>
            <strRef>
              <f>'VIP — Stress-test krach'!B13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'VIP — Stress-test krach'!$A$14:$A$33</f>
            </numRef>
          </cat>
          <val>
            <numRef>
              <f>'VIP — Stress-test krach'!$B$14:$B$33</f>
            </numRef>
          </val>
        </ser>
        <ser>
          <idx val="1"/>
          <order val="1"/>
          <tx>
            <strRef>
              <f>'VIP — Stress-test krach'!C13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'VIP — Stress-test krach'!$A$14:$A$33</f>
            </numRef>
          </cat>
          <val>
            <numRef>
              <f>'VIP — Stress-test krach'!$C$14:$C$33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Capital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18" customWidth="1" min="4" max="4"/>
    <col width="18" customWidth="1" min="5" max="5"/>
    <col width="16" customWidth="1" min="6" max="6"/>
  </cols>
  <sheetData>
    <row r="1" ht="26" customHeight="1">
      <c r="A1" s="1" t="inlineStr">
        <is>
          <t>Simulateur d'épargne — 3 scénarios</t>
        </is>
      </c>
    </row>
    <row r="2" ht="18" customHeight="1">
      <c r="A2" s="2" t="inlineStr">
        <is>
          <t>Modifie les cellules en gras dans la colonne C. Tout le reste se recalcule automatiquement.</t>
        </is>
      </c>
    </row>
    <row r="4">
      <c r="A4" s="3" t="inlineStr">
        <is>
          <t>Versement mensuel (€)</t>
        </is>
      </c>
      <c r="C4" s="4" t="n">
        <v>250</v>
      </c>
    </row>
    <row r="5">
      <c r="A5" s="3" t="inlineStr">
        <is>
          <t>Durée (années)</t>
        </is>
      </c>
      <c r="C5" s="4" t="n">
        <v>20</v>
      </c>
    </row>
    <row r="6">
      <c r="A6" s="3" t="inlineStr">
        <is>
          <t>Capital de départ (€)</t>
        </is>
      </c>
      <c r="C6" s="4" t="n">
        <v>1000</v>
      </c>
    </row>
    <row r="8">
      <c r="A8" s="5" t="inlineStr">
        <is>
          <t>Scénario</t>
        </is>
      </c>
      <c r="B8" s="5" t="inlineStr">
        <is>
          <t>Rendement annuel estimé</t>
        </is>
      </c>
      <c r="C8" s="5" t="inlineStr">
        <is>
          <t>Capital final estimé</t>
        </is>
      </c>
      <c r="D8" s="5" t="inlineStr">
        <is>
          <t>Total versé</t>
        </is>
      </c>
      <c r="E8" s="5" t="inlineStr">
        <is>
          <t>Intérêts générés</t>
        </is>
      </c>
    </row>
    <row r="9">
      <c r="A9" s="6" t="inlineStr">
        <is>
          <t>Prudent</t>
        </is>
      </c>
      <c r="B9" s="7" t="n">
        <v>0.03</v>
      </c>
      <c r="C9" s="8">
        <f>$C$6*(1+$B9/12)^($C$5*12) + $C$4*(((1+$B9/12)^($C$5*12)-1)/($B9/12))*(1+$B9/12)</f>
        <v/>
      </c>
      <c r="D9" s="8">
        <f>$C$4*$C$5*12+$C$6</f>
        <v/>
      </c>
      <c r="E9" s="8">
        <f>C9-D9</f>
        <v/>
      </c>
    </row>
    <row r="10">
      <c r="A10" s="6" t="inlineStr">
        <is>
          <t>Médian (ETF monde)</t>
        </is>
      </c>
      <c r="B10" s="7" t="n">
        <v>0.06</v>
      </c>
      <c r="C10" s="8">
        <f>$C$6*(1+$B10/12)^($C$5*12) + $C$4*(((1+$B10/12)^($C$5*12)-1)/($B10/12))*(1+$B10/12)</f>
        <v/>
      </c>
      <c r="D10" s="8">
        <f>$C$4*$C$5*12+$C$6</f>
        <v/>
      </c>
      <c r="E10" s="8">
        <f>C10-D10</f>
        <v/>
      </c>
    </row>
    <row r="11">
      <c r="A11" s="6" t="inlineStr">
        <is>
          <t>Optimiste</t>
        </is>
      </c>
      <c r="B11" s="7" t="n">
        <v>0.09</v>
      </c>
      <c r="C11" s="8">
        <f>$C$6*(1+$B11/12)^($C$5*12) + $C$4*(((1+$B11/12)^($C$5*12)-1)/($B11/12))*(1+$B11/12)</f>
        <v/>
      </c>
      <c r="D11" s="8">
        <f>$C$4*$C$5*12+$C$6</f>
        <v/>
      </c>
      <c r="E11" s="8">
        <f>C11-D11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6" customWidth="1" min="4" max="4"/>
    <col width="22" customWidth="1" min="5" max="5"/>
    <col width="26" customWidth="1" min="6" max="6"/>
  </cols>
  <sheetData>
    <row r="1" ht="26" customHeight="1">
      <c r="A1" s="1" t="inlineStr">
        <is>
          <t>Comparateur de frais réels sur 20 ans</t>
        </is>
      </c>
    </row>
    <row r="2" ht="18" customHeight="1">
      <c r="A2" s="2" t="inlineStr">
        <is>
          <t>Renseigne les frais de ton courtier pour voir leur impact réel sur ton capital final.</t>
        </is>
      </c>
    </row>
    <row r="4">
      <c r="A4" s="5" t="inlineStr">
        <is>
          <t>Courtier</t>
        </is>
      </c>
      <c r="B4" s="5" t="inlineStr">
        <is>
          <t>Frais par ordre (€)</t>
        </is>
      </c>
      <c r="C4" s="5" t="inlineStr">
        <is>
          <t>Ordres / an</t>
        </is>
      </c>
      <c r="D4" s="5" t="inlineStr">
        <is>
          <t>Frais annuels</t>
        </is>
      </c>
      <c r="E4" s="5" t="inlineStr">
        <is>
          <t>Frais cumulés sur 20 ans</t>
        </is>
      </c>
      <c r="F4" s="5" t="inlineStr">
        <is>
          <t>Coût en % du capital final</t>
        </is>
      </c>
    </row>
    <row r="5">
      <c r="A5" s="6" t="inlineStr">
        <is>
          <t>Bolero (KBC)</t>
        </is>
      </c>
      <c r="B5" s="8" t="n">
        <v>2.5</v>
      </c>
      <c r="C5" s="6" t="n">
        <v>12</v>
      </c>
      <c r="D5" s="8">
        <f>B5*C5</f>
        <v/>
      </c>
      <c r="E5" s="8">
        <f>D5*20</f>
        <v/>
      </c>
      <c r="F5" s="7">
        <f>E5/'Simulateur multi-scénarios'!$C$10</f>
        <v/>
      </c>
    </row>
    <row r="6">
      <c r="A6" s="6" t="inlineStr">
        <is>
          <t>Keytrade Bank</t>
        </is>
      </c>
      <c r="B6" s="8" t="n">
        <v>2.45</v>
      </c>
      <c r="C6" s="6" t="n">
        <v>12</v>
      </c>
      <c r="D6" s="8">
        <f>B6*C6</f>
        <v/>
      </c>
      <c r="E6" s="8">
        <f>D6*20</f>
        <v/>
      </c>
      <c r="F6" s="7">
        <f>E6/'Simulateur multi-scénarios'!$C$10</f>
        <v/>
      </c>
    </row>
    <row r="7">
      <c r="A7" s="6" t="inlineStr">
        <is>
          <t>MeDirect</t>
        </is>
      </c>
      <c r="B7" s="8" t="n">
        <v>0</v>
      </c>
      <c r="C7" s="6" t="n">
        <v>12</v>
      </c>
      <c r="D7" s="8">
        <f>B7*C7</f>
        <v/>
      </c>
      <c r="E7" s="8">
        <f>D7*20</f>
        <v/>
      </c>
      <c r="F7" s="7">
        <f>E7/'Simulateur multi-scénarios'!$C$10</f>
        <v/>
      </c>
    </row>
    <row r="8">
      <c r="A8" s="6" t="inlineStr">
        <is>
          <t>DEGIRO</t>
        </is>
      </c>
      <c r="B8" s="8" t="n">
        <v>1</v>
      </c>
      <c r="C8" s="6" t="n">
        <v>12</v>
      </c>
      <c r="D8" s="8">
        <f>B8*C8</f>
        <v/>
      </c>
      <c r="E8" s="8">
        <f>D8*20</f>
        <v/>
      </c>
      <c r="F8" s="7">
        <f>E8/'Simulateur multi-scénarios'!$C$10</f>
        <v/>
      </c>
    </row>
    <row r="9">
      <c r="A9" s="6" t="inlineStr">
        <is>
          <t>Saxo Bank</t>
        </is>
      </c>
      <c r="B9" s="8" t="n">
        <v>3</v>
      </c>
      <c r="C9" s="6" t="n">
        <v>12</v>
      </c>
      <c r="D9" s="8">
        <f>B9*C9</f>
        <v/>
      </c>
      <c r="E9" s="8">
        <f>D9*20</f>
        <v/>
      </c>
      <c r="F9" s="7">
        <f>E9/'Simulateur multi-scénarios'!$C$10</f>
        <v/>
      </c>
    </row>
    <row r="10">
      <c r="A10" s="6" t="inlineStr">
        <is>
          <t>Ton courtier</t>
        </is>
      </c>
      <c r="B10" s="8" t="n">
        <v>0</v>
      </c>
      <c r="C10" s="6" t="n">
        <v>12</v>
      </c>
      <c r="D10" s="8">
        <f>B10*C10</f>
        <v/>
      </c>
      <c r="E10" s="8">
        <f>D10*20</f>
        <v/>
      </c>
      <c r="F10" s="7">
        <f>E10/'Simulateur multi-scénarios'!$C$10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4" customWidth="1" min="1" max="1"/>
    <col width="4" customWidth="1" min="2" max="2"/>
    <col width="18" customWidth="1" min="3" max="3"/>
  </cols>
  <sheetData>
    <row r="1" ht="26" customHeight="1">
      <c r="A1" s="1" t="inlineStr">
        <is>
          <t>Estimation de la taxe sur les plus-values (réforme 2026)</t>
        </is>
      </c>
    </row>
    <row r="2" ht="18" customHeight="1">
      <c r="A2" s="2" t="inlineStr">
        <is>
          <t>Estimation indicative — vérifie toujours les règles en vigueur.</t>
        </is>
      </c>
    </row>
    <row r="4">
      <c r="A4" s="3" t="inlineStr">
        <is>
          <t>Plus-value réalisée sur l'année (€)</t>
        </is>
      </c>
      <c r="C4" s="9" t="n">
        <v>3500</v>
      </c>
    </row>
    <row r="5">
      <c r="A5" s="3" t="inlineStr">
        <is>
          <t>Exonération annuelle applicable (€)</t>
        </is>
      </c>
      <c r="C5" s="9" t="n">
        <v>10000</v>
      </c>
    </row>
    <row r="6">
      <c r="A6" s="3" t="inlineStr">
        <is>
          <t>Taux d'imposition</t>
        </is>
      </c>
      <c r="C6" s="10" t="n">
        <v>0.1</v>
      </c>
    </row>
    <row r="8">
      <c r="A8" t="inlineStr">
        <is>
          <t>Base imposable</t>
        </is>
      </c>
      <c r="C8" s="11">
        <f>MAX(0, C4-C5)</f>
        <v/>
      </c>
    </row>
    <row r="9">
      <c r="A9" t="inlineStr">
        <is>
          <t>Impôt estimé</t>
        </is>
      </c>
      <c r="C9" s="11">
        <f>C8*C6</f>
        <v/>
      </c>
    </row>
    <row r="10">
      <c r="A10" t="inlineStr">
        <is>
          <t>Plus-value nette après impôt</t>
        </is>
      </c>
      <c r="C10" s="11">
        <f>C4-C9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</cols>
  <sheetData>
    <row r="1" ht="26" customHeight="1">
      <c r="A1" s="1" t="inlineStr">
        <is>
          <t>Checklist : ouvrir ton premier compte-titres</t>
        </is>
      </c>
    </row>
    <row r="2" ht="18" customHeight="1">
      <c r="A2" s="2" t="inlineStr">
        <is>
          <t>Coche chaque étape (colonne B) au fur et à mesure.</t>
        </is>
      </c>
    </row>
    <row r="4">
      <c r="A4" s="5" t="inlineStr">
        <is>
          <t>Étape</t>
        </is>
      </c>
      <c r="B4" s="5" t="inlineStr">
        <is>
          <t>Fait ?</t>
        </is>
      </c>
    </row>
    <row r="5">
      <c r="A5" s="6" t="inlineStr">
        <is>
          <t>Définir mon objectif d'épargne (durée, montant cible)</t>
        </is>
      </c>
      <c r="B5" s="6" t="inlineStr">
        <is>
          <t>☐</t>
        </is>
      </c>
    </row>
    <row r="6">
      <c r="A6" s="6" t="inlineStr">
        <is>
          <t>Choisir mon profil de risque (voir le quiz du site)</t>
        </is>
      </c>
      <c r="B6" s="6" t="inlineStr">
        <is>
          <t>☐</t>
        </is>
      </c>
    </row>
    <row r="7">
      <c r="A7" s="6" t="inlineStr">
        <is>
          <t>Comparer 2-3 courtiers (frais, fiscalité belge automatique)</t>
        </is>
      </c>
      <c r="B7" s="6" t="inlineStr">
        <is>
          <t>☐</t>
        </is>
      </c>
    </row>
    <row r="8">
      <c r="A8" s="6" t="inlineStr">
        <is>
          <t>Préparer ma carte d'identité électronique + lecteur de carte / app bancaire</t>
        </is>
      </c>
      <c r="B8" s="6" t="inlineStr">
        <is>
          <t>☐</t>
        </is>
      </c>
    </row>
    <row r="9">
      <c r="A9" s="6" t="inlineStr">
        <is>
          <t>Ouvrir le compte-titres en ligne chez le courtier choisi</t>
        </is>
      </c>
      <c r="B9" s="6" t="inlineStr">
        <is>
          <t>☐</t>
        </is>
      </c>
    </row>
    <row r="10">
      <c r="A10" s="6" t="inlineStr">
        <is>
          <t>Faire mon premier virement (montant que je suis prêt à investir)</t>
        </is>
      </c>
      <c r="B10" s="6" t="inlineStr">
        <is>
          <t>☐</t>
        </is>
      </c>
    </row>
    <row r="11">
      <c r="A11" s="6" t="inlineStr">
        <is>
          <t>Choisir mon premier ETF (monde, diversifié, frais bas)</t>
        </is>
      </c>
      <c r="B11" s="6" t="inlineStr">
        <is>
          <t>☐</t>
        </is>
      </c>
    </row>
    <row r="12">
      <c r="A12" s="6" t="inlineStr">
        <is>
          <t>Passer mon premier ordre d'achat</t>
        </is>
      </c>
      <c r="B12" s="6" t="inlineStr">
        <is>
          <t>☐</t>
        </is>
      </c>
    </row>
    <row r="13">
      <c r="A13" s="6" t="inlineStr">
        <is>
          <t>Mettre en place un virement automatique mensuel</t>
        </is>
      </c>
      <c r="B13" s="6" t="inlineStr">
        <is>
          <t>☐</t>
        </is>
      </c>
    </row>
    <row r="14">
      <c r="A14" s="6" t="inlineStr">
        <is>
          <t>Noter la date de ma prochaine revue de portefeuille (dans 6 mois)</t>
        </is>
      </c>
      <c r="B14" s="6" t="inlineStr">
        <is>
          <t>☐</t>
        </is>
      </c>
    </row>
  </sheetData>
  <mergeCells count="2">
    <mergeCell ref="A2:F2"/>
    <mergeCell ref="A1:F1"/>
  </mergeCells>
  <dataValidations count="1">
    <dataValidation sqref="B5 B6 B7 B8 B9 B10 B11 B12 B13 B14" showDropDown="0" showInputMessage="0" showErrorMessage="0" allowBlank="1" type="list">
      <formula1>"☐,✅"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20" customWidth="1" min="5" max="5"/>
    <col width="14" customWidth="1" min="6" max="6"/>
  </cols>
  <sheetData>
    <row r="1" ht="26" customHeight="1">
      <c r="A1" s="1" t="inlineStr">
        <is>
          <t>Suivi de portefeuille</t>
        </is>
      </c>
    </row>
    <row r="2" ht="18" customHeight="1">
      <c r="A2" s="2" t="inlineStr">
        <is>
          <t>Ajoute une ligne à chaque versement ou achat.</t>
        </is>
      </c>
    </row>
    <row r="4">
      <c r="A4" s="5" t="inlineStr">
        <is>
          <t>Date</t>
        </is>
      </c>
      <c r="B4" s="5" t="inlineStr">
        <is>
          <t>Ligne (ETF / action)</t>
        </is>
      </c>
      <c r="C4" s="5" t="inlineStr">
        <is>
          <t>Montant investi (€)</t>
        </is>
      </c>
      <c r="D4" s="5" t="inlineStr">
        <is>
          <t>Valeur actuelle (€)</t>
        </is>
      </c>
      <c r="E4" s="5" t="inlineStr">
        <is>
          <t>Plus/moins-value (€)</t>
        </is>
      </c>
      <c r="F4" s="5" t="inlineStr">
        <is>
          <t>Performance</t>
        </is>
      </c>
    </row>
    <row r="5">
      <c r="A5" s="6" t="n"/>
      <c r="B5" s="6" t="n"/>
      <c r="C5" s="8" t="n"/>
      <c r="D5" s="8" t="n"/>
      <c r="E5" s="8">
        <f>D5-C5</f>
        <v/>
      </c>
      <c r="F5" s="7">
        <f>IF(C5=0,"",E5/C5)</f>
        <v/>
      </c>
    </row>
    <row r="6">
      <c r="A6" s="6" t="n"/>
      <c r="B6" s="6" t="n"/>
      <c r="C6" s="8" t="n"/>
      <c r="D6" s="8" t="n"/>
      <c r="E6" s="8">
        <f>D6-C6</f>
        <v/>
      </c>
      <c r="F6" s="7">
        <f>IF(C6=0,"",E6/C6)</f>
        <v/>
      </c>
    </row>
    <row r="7">
      <c r="A7" s="6" t="n"/>
      <c r="B7" s="6" t="n"/>
      <c r="C7" s="8" t="n"/>
      <c r="D7" s="8" t="n"/>
      <c r="E7" s="8">
        <f>D7-C7</f>
        <v/>
      </c>
      <c r="F7" s="7">
        <f>IF(C7=0,"",E7/C7)</f>
        <v/>
      </c>
    </row>
    <row r="8">
      <c r="A8" s="6" t="n"/>
      <c r="B8" s="6" t="n"/>
      <c r="C8" s="8" t="n"/>
      <c r="D8" s="8" t="n"/>
      <c r="E8" s="8">
        <f>D8-C8</f>
        <v/>
      </c>
      <c r="F8" s="7">
        <f>IF(C8=0,"",E8/C8)</f>
        <v/>
      </c>
    </row>
    <row r="9">
      <c r="A9" s="6" t="n"/>
      <c r="B9" s="6" t="n"/>
      <c r="C9" s="8" t="n"/>
      <c r="D9" s="8" t="n"/>
      <c r="E9" s="8">
        <f>D9-C9</f>
        <v/>
      </c>
      <c r="F9" s="7">
        <f>IF(C9=0,"",E9/C9)</f>
        <v/>
      </c>
    </row>
    <row r="10">
      <c r="A10" s="6" t="n"/>
      <c r="B10" s="6" t="n"/>
      <c r="C10" s="8" t="n"/>
      <c r="D10" s="8" t="n"/>
      <c r="E10" s="8">
        <f>D10-C10</f>
        <v/>
      </c>
      <c r="F10" s="7">
        <f>IF(C10=0,"",E10/C10)</f>
        <v/>
      </c>
    </row>
    <row r="11">
      <c r="A11" s="6" t="n"/>
      <c r="B11" s="6" t="n"/>
      <c r="C11" s="8" t="n"/>
      <c r="D11" s="8" t="n"/>
      <c r="E11" s="8">
        <f>D11-C11</f>
        <v/>
      </c>
      <c r="F11" s="7">
        <f>IF(C11=0,"",E11/C11)</f>
        <v/>
      </c>
    </row>
    <row r="12">
      <c r="A12" s="6" t="n"/>
      <c r="B12" s="6" t="n"/>
      <c r="C12" s="8" t="n"/>
      <c r="D12" s="8" t="n"/>
      <c r="E12" s="8">
        <f>D12-C12</f>
        <v/>
      </c>
      <c r="F12" s="7">
        <f>IF(C12=0,"",E12/C12)</f>
        <v/>
      </c>
    </row>
    <row r="13">
      <c r="A13" s="6" t="n"/>
      <c r="B13" s="6" t="n"/>
      <c r="C13" s="8" t="n"/>
      <c r="D13" s="8" t="n"/>
      <c r="E13" s="8">
        <f>D13-C13</f>
        <v/>
      </c>
      <c r="F13" s="7">
        <f>IF(C13=0,"",E13/C13)</f>
        <v/>
      </c>
    </row>
    <row r="14">
      <c r="A14" s="6" t="n"/>
      <c r="B14" s="6" t="n"/>
      <c r="C14" s="8" t="n"/>
      <c r="D14" s="8" t="n"/>
      <c r="E14" s="8">
        <f>D14-C14</f>
        <v/>
      </c>
      <c r="F14" s="7">
        <f>IF(C14=0,"",E14/C14)</f>
        <v/>
      </c>
    </row>
    <row r="15">
      <c r="A15" s="6" t="n"/>
      <c r="B15" s="6" t="n"/>
      <c r="C15" s="8" t="n"/>
      <c r="D15" s="8" t="n"/>
      <c r="E15" s="8">
        <f>D15-C15</f>
        <v/>
      </c>
      <c r="F15" s="7">
        <f>IF(C15=0,"",E15/C15)</f>
        <v/>
      </c>
    </row>
    <row r="16">
      <c r="A16" s="6" t="n"/>
      <c r="B16" s="6" t="n"/>
      <c r="C16" s="8" t="n"/>
      <c r="D16" s="8" t="n"/>
      <c r="E16" s="8">
        <f>D16-C16</f>
        <v/>
      </c>
      <c r="F16" s="7">
        <f>IF(C16=0,"",E16/C16)</f>
        <v/>
      </c>
    </row>
    <row r="17">
      <c r="A17" s="6" t="n"/>
      <c r="B17" s="6" t="n"/>
      <c r="C17" s="8" t="n"/>
      <c r="D17" s="8" t="n"/>
      <c r="E17" s="8">
        <f>D17-C17</f>
        <v/>
      </c>
      <c r="F17" s="7">
        <f>IF(C17=0,"",E17/C17)</f>
        <v/>
      </c>
    </row>
    <row r="18">
      <c r="A18" s="6" t="n"/>
      <c r="B18" s="6" t="n"/>
      <c r="C18" s="8" t="n"/>
      <c r="D18" s="8" t="n"/>
      <c r="E18" s="8">
        <f>D18-C18</f>
        <v/>
      </c>
      <c r="F18" s="7">
        <f>IF(C18=0,"",E18/C18)</f>
        <v/>
      </c>
    </row>
    <row r="19">
      <c r="A19" s="6" t="n"/>
      <c r="B19" s="6" t="n"/>
      <c r="C19" s="8" t="n"/>
      <c r="D19" s="8" t="n"/>
      <c r="E19" s="8">
        <f>D19-C19</f>
        <v/>
      </c>
      <c r="F19" s="7">
        <f>IF(C19=0,"",E19/C19)</f>
        <v/>
      </c>
    </row>
    <row r="20">
      <c r="A20" s="6" t="n"/>
      <c r="B20" s="6" t="n"/>
      <c r="C20" s="8" t="n"/>
      <c r="D20" s="8" t="n"/>
      <c r="E20" s="8">
        <f>D20-C20</f>
        <v/>
      </c>
      <c r="F20" s="7">
        <f>IF(C20=0,"",E20/C20)</f>
        <v/>
      </c>
    </row>
    <row r="21">
      <c r="A21" s="6" t="n"/>
      <c r="B21" s="6" t="n"/>
      <c r="C21" s="8" t="n"/>
      <c r="D21" s="8" t="n"/>
      <c r="E21" s="8">
        <f>D21-C21</f>
        <v/>
      </c>
      <c r="F21" s="7">
        <f>IF(C21=0,"",E21/C21)</f>
        <v/>
      </c>
    </row>
    <row r="22">
      <c r="A22" s="6" t="n"/>
      <c r="B22" s="6" t="n"/>
      <c r="C22" s="8" t="n"/>
      <c r="D22" s="8" t="n"/>
      <c r="E22" s="8">
        <f>D22-C22</f>
        <v/>
      </c>
      <c r="F22" s="7">
        <f>IF(C22=0,"",E22/C22)</f>
        <v/>
      </c>
    </row>
    <row r="23">
      <c r="A23" s="6" t="n"/>
      <c r="B23" s="6" t="n"/>
      <c r="C23" s="8" t="n"/>
      <c r="D23" s="8" t="n"/>
      <c r="E23" s="8">
        <f>D23-C23</f>
        <v/>
      </c>
      <c r="F23" s="7">
        <f>IF(C23=0,"",E23/C23)</f>
        <v/>
      </c>
    </row>
    <row r="24">
      <c r="A24" s="6" t="n"/>
      <c r="B24" s="6" t="n"/>
      <c r="C24" s="8" t="n"/>
      <c r="D24" s="8" t="n"/>
      <c r="E24" s="8">
        <f>D24-C24</f>
        <v/>
      </c>
      <c r="F24" s="7">
        <f>IF(C24=0,"",E24/C24)</f>
        <v/>
      </c>
    </row>
    <row r="25">
      <c r="A25" s="6" t="n"/>
      <c r="B25" s="6" t="n"/>
      <c r="C25" s="8" t="n"/>
      <c r="D25" s="8" t="n"/>
      <c r="E25" s="8">
        <f>D25-C25</f>
        <v/>
      </c>
      <c r="F25" s="7">
        <f>IF(C25=0,"",E25/C25)</f>
        <v/>
      </c>
    </row>
    <row r="26">
      <c r="A26" s="6" t="n"/>
      <c r="B26" s="6" t="n"/>
      <c r="C26" s="8" t="n"/>
      <c r="D26" s="8" t="n"/>
      <c r="E26" s="8">
        <f>D26-C26</f>
        <v/>
      </c>
      <c r="F26" s="7">
        <f>IF(C26=0,"",E26/C26)</f>
        <v/>
      </c>
    </row>
    <row r="27">
      <c r="A27" s="6" t="n"/>
      <c r="B27" s="6" t="n"/>
      <c r="C27" s="8" t="n"/>
      <c r="D27" s="8" t="n"/>
      <c r="E27" s="8">
        <f>D27-C27</f>
        <v/>
      </c>
      <c r="F27" s="7">
        <f>IF(C27=0,"",E27/C27)</f>
        <v/>
      </c>
    </row>
    <row r="28">
      <c r="A28" s="6" t="n"/>
      <c r="B28" s="6" t="n"/>
      <c r="C28" s="8" t="n"/>
      <c r="D28" s="8" t="n"/>
      <c r="E28" s="8">
        <f>D28-C28</f>
        <v/>
      </c>
      <c r="F28" s="7">
        <f>IF(C28=0,"",E28/C28)</f>
        <v/>
      </c>
    </row>
    <row r="29">
      <c r="A29" s="6" t="n"/>
      <c r="B29" s="6" t="n"/>
      <c r="C29" s="8" t="n"/>
      <c r="D29" s="8" t="n"/>
      <c r="E29" s="8">
        <f>D29-C29</f>
        <v/>
      </c>
      <c r="F29" s="7">
        <f>IF(C29=0,"",E29/C29)</f>
        <v/>
      </c>
    </row>
    <row r="31">
      <c r="A31" s="3" t="inlineStr">
        <is>
          <t>TOTAL</t>
        </is>
      </c>
      <c r="C31" s="12">
        <f>SUM(C5:C29)</f>
        <v/>
      </c>
      <c r="D31" s="12">
        <f>SUM(D5:D29)</f>
        <v/>
      </c>
      <c r="E31" s="12">
        <f>D31-C31</f>
        <v/>
      </c>
      <c r="F31" s="13">
        <f>IF(C31=0,"",E31/C31)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8" customWidth="1" min="4" max="4"/>
  </cols>
  <sheetData>
    <row r="1" ht="26" customHeight="1">
      <c r="A1" s="1" t="inlineStr">
        <is>
          <t>👑 — Stress-test : impact d'un krach sur ton capital</t>
        </is>
      </c>
    </row>
    <row r="2" ht="18" customHeight="1">
      <c r="A2" s="2" t="inlineStr">
        <is>
          <t>Simule une chute des marchés à une année donnée et compare avec un scénario sans krach.</t>
        </is>
      </c>
    </row>
    <row r="4">
      <c r="A4" s="3" t="inlineStr">
        <is>
          <t>Versement mensuel (€)</t>
        </is>
      </c>
      <c r="C4" s="4" t="n">
        <v>250</v>
      </c>
    </row>
    <row r="5">
      <c r="A5" s="3" t="inlineStr">
        <is>
          <t>Durée totale (années)</t>
        </is>
      </c>
      <c r="C5" s="4" t="n">
        <v>20</v>
      </c>
    </row>
    <row r="6">
      <c r="A6" s="3" t="inlineStr">
        <is>
          <t>Capital de départ (€)</t>
        </is>
      </c>
      <c r="C6" s="4" t="n">
        <v>1000</v>
      </c>
    </row>
    <row r="7">
      <c r="A7" s="3" t="inlineStr">
        <is>
          <t>Rendement annuel hors krach</t>
        </is>
      </c>
      <c r="C7" s="14" t="n">
        <v>0.06</v>
      </c>
    </row>
    <row r="8">
      <c r="A8" s="3" t="inlineStr">
        <is>
          <t>Année du krach</t>
        </is>
      </c>
      <c r="C8" s="4" t="n">
        <v>10</v>
      </c>
    </row>
    <row r="9">
      <c r="A9" s="3" t="inlineStr">
        <is>
          <t>Ampleur du krach</t>
        </is>
      </c>
      <c r="C9" s="14" t="n">
        <v>-0.35</v>
      </c>
    </row>
    <row r="10">
      <c r="A10" s="3" t="inlineStr">
        <is>
          <t>Rendement de reprise post-krach</t>
        </is>
      </c>
      <c r="C10" s="14" t="n">
        <v>0.06</v>
      </c>
    </row>
    <row r="13">
      <c r="A13" s="5" t="inlineStr">
        <is>
          <t>Année</t>
        </is>
      </c>
      <c r="B13" s="5" t="inlineStr">
        <is>
          <t>Capital sans krach</t>
        </is>
      </c>
      <c r="C13" s="5" t="inlineStr">
        <is>
          <t>Capital avec krach</t>
        </is>
      </c>
      <c r="D13" s="5" t="inlineStr">
        <is>
          <t>Écart</t>
        </is>
      </c>
    </row>
    <row r="14">
      <c r="A14" s="6" t="n">
        <v>1</v>
      </c>
      <c r="B14" s="8">
        <f>$C$6*(1+$C$7/12)^(A14*12) + $C$4*(((1+$C$7/12)^(A14*12)-1)/($C$7/12))*(1+$C$7/12)</f>
        <v/>
      </c>
      <c r="C14" s="8">
        <f>IF(A14&lt;$C$9, B14, ($C$6*(1+$C$7/12)^($C$9*12) + $C$4*(((1+$C$7/12)^($C$9*12)-1)/($C$7/12))*(1+$C$7/12)) * (1+$C$8) * (1+$C$10/12)^((A14-$C$9)*12) + $C$4*(((1+$C$10/12)^((A14-$C$9)*12)-1)/($C$10/12))*(1+$C$10/12))</f>
        <v/>
      </c>
      <c r="D14" s="8">
        <f>C14-B14</f>
        <v/>
      </c>
    </row>
    <row r="15">
      <c r="A15" s="6" t="n">
        <v>2</v>
      </c>
      <c r="B15" s="8">
        <f>$C$6*(1+$C$7/12)^(A15*12) + $C$4*(((1+$C$7/12)^(A15*12)-1)/($C$7/12))*(1+$C$7/12)</f>
        <v/>
      </c>
      <c r="C15" s="8">
        <f>IF(A15&lt;$C$9, B15, ($C$6*(1+$C$7/12)^($C$9*12) + $C$4*(((1+$C$7/12)^($C$9*12)-1)/($C$7/12))*(1+$C$7/12)) * (1+$C$8) * (1+$C$10/12)^((A15-$C$9)*12) + $C$4*(((1+$C$10/12)^((A15-$C$9)*12)-1)/($C$10/12))*(1+$C$10/12))</f>
        <v/>
      </c>
      <c r="D15" s="8">
        <f>C15-B15</f>
        <v/>
      </c>
    </row>
    <row r="16">
      <c r="A16" s="6" t="n">
        <v>3</v>
      </c>
      <c r="B16" s="8">
        <f>$C$6*(1+$C$7/12)^(A16*12) + $C$4*(((1+$C$7/12)^(A16*12)-1)/($C$7/12))*(1+$C$7/12)</f>
        <v/>
      </c>
      <c r="C16" s="8">
        <f>IF(A16&lt;$C$9, B16, ($C$6*(1+$C$7/12)^($C$9*12) + $C$4*(((1+$C$7/12)^($C$9*12)-1)/($C$7/12))*(1+$C$7/12)) * (1+$C$8) * (1+$C$10/12)^((A16-$C$9)*12) + $C$4*(((1+$C$10/12)^((A16-$C$9)*12)-1)/($C$10/12))*(1+$C$10/12))</f>
        <v/>
      </c>
      <c r="D16" s="8">
        <f>C16-B16</f>
        <v/>
      </c>
    </row>
    <row r="17">
      <c r="A17" s="6" t="n">
        <v>4</v>
      </c>
      <c r="B17" s="8">
        <f>$C$6*(1+$C$7/12)^(A17*12) + $C$4*(((1+$C$7/12)^(A17*12)-1)/($C$7/12))*(1+$C$7/12)</f>
        <v/>
      </c>
      <c r="C17" s="8">
        <f>IF(A17&lt;$C$9, B17, ($C$6*(1+$C$7/12)^($C$9*12) + $C$4*(((1+$C$7/12)^($C$9*12)-1)/($C$7/12))*(1+$C$7/12)) * (1+$C$8) * (1+$C$10/12)^((A17-$C$9)*12) + $C$4*(((1+$C$10/12)^((A17-$C$9)*12)-1)/($C$10/12))*(1+$C$10/12))</f>
        <v/>
      </c>
      <c r="D17" s="8">
        <f>C17-B17</f>
        <v/>
      </c>
    </row>
    <row r="18">
      <c r="A18" s="6" t="n">
        <v>5</v>
      </c>
      <c r="B18" s="8">
        <f>$C$6*(1+$C$7/12)^(A18*12) + $C$4*(((1+$C$7/12)^(A18*12)-1)/($C$7/12))*(1+$C$7/12)</f>
        <v/>
      </c>
      <c r="C18" s="8">
        <f>IF(A18&lt;$C$9, B18, ($C$6*(1+$C$7/12)^($C$9*12) + $C$4*(((1+$C$7/12)^($C$9*12)-1)/($C$7/12))*(1+$C$7/12)) * (1+$C$8) * (1+$C$10/12)^((A18-$C$9)*12) + $C$4*(((1+$C$10/12)^((A18-$C$9)*12)-1)/($C$10/12))*(1+$C$10/12))</f>
        <v/>
      </c>
      <c r="D18" s="8">
        <f>C18-B18</f>
        <v/>
      </c>
    </row>
    <row r="19">
      <c r="A19" s="6" t="n">
        <v>6</v>
      </c>
      <c r="B19" s="8">
        <f>$C$6*(1+$C$7/12)^(A19*12) + $C$4*(((1+$C$7/12)^(A19*12)-1)/($C$7/12))*(1+$C$7/12)</f>
        <v/>
      </c>
      <c r="C19" s="8">
        <f>IF(A19&lt;$C$9, B19, ($C$6*(1+$C$7/12)^($C$9*12) + $C$4*(((1+$C$7/12)^($C$9*12)-1)/($C$7/12))*(1+$C$7/12)) * (1+$C$8) * (1+$C$10/12)^((A19-$C$9)*12) + $C$4*(((1+$C$10/12)^((A19-$C$9)*12)-1)/($C$10/12))*(1+$C$10/12))</f>
        <v/>
      </c>
      <c r="D19" s="8">
        <f>C19-B19</f>
        <v/>
      </c>
    </row>
    <row r="20">
      <c r="A20" s="6" t="n">
        <v>7</v>
      </c>
      <c r="B20" s="8">
        <f>$C$6*(1+$C$7/12)^(A20*12) + $C$4*(((1+$C$7/12)^(A20*12)-1)/($C$7/12))*(1+$C$7/12)</f>
        <v/>
      </c>
      <c r="C20" s="8">
        <f>IF(A20&lt;$C$9, B20, ($C$6*(1+$C$7/12)^($C$9*12) + $C$4*(((1+$C$7/12)^($C$9*12)-1)/($C$7/12))*(1+$C$7/12)) * (1+$C$8) * (1+$C$10/12)^((A20-$C$9)*12) + $C$4*(((1+$C$10/12)^((A20-$C$9)*12)-1)/($C$10/12))*(1+$C$10/12))</f>
        <v/>
      </c>
      <c r="D20" s="8">
        <f>C20-B20</f>
        <v/>
      </c>
    </row>
    <row r="21">
      <c r="A21" s="6" t="n">
        <v>8</v>
      </c>
      <c r="B21" s="8">
        <f>$C$6*(1+$C$7/12)^(A21*12) + $C$4*(((1+$C$7/12)^(A21*12)-1)/($C$7/12))*(1+$C$7/12)</f>
        <v/>
      </c>
      <c r="C21" s="8">
        <f>IF(A21&lt;$C$9, B21, ($C$6*(1+$C$7/12)^($C$9*12) + $C$4*(((1+$C$7/12)^($C$9*12)-1)/($C$7/12))*(1+$C$7/12)) * (1+$C$8) * (1+$C$10/12)^((A21-$C$9)*12) + $C$4*(((1+$C$10/12)^((A21-$C$9)*12)-1)/($C$10/12))*(1+$C$10/12))</f>
        <v/>
      </c>
      <c r="D21" s="8">
        <f>C21-B21</f>
        <v/>
      </c>
    </row>
    <row r="22">
      <c r="A22" s="6" t="n">
        <v>9</v>
      </c>
      <c r="B22" s="8">
        <f>$C$6*(1+$C$7/12)^(A22*12) + $C$4*(((1+$C$7/12)^(A22*12)-1)/($C$7/12))*(1+$C$7/12)</f>
        <v/>
      </c>
      <c r="C22" s="8">
        <f>IF(A22&lt;$C$9, B22, ($C$6*(1+$C$7/12)^($C$9*12) + $C$4*(((1+$C$7/12)^($C$9*12)-1)/($C$7/12))*(1+$C$7/12)) * (1+$C$8) * (1+$C$10/12)^((A22-$C$9)*12) + $C$4*(((1+$C$10/12)^((A22-$C$9)*12)-1)/($C$10/12))*(1+$C$10/12))</f>
        <v/>
      </c>
      <c r="D22" s="8">
        <f>C22-B22</f>
        <v/>
      </c>
    </row>
    <row r="23">
      <c r="A23" s="6" t="n">
        <v>10</v>
      </c>
      <c r="B23" s="8">
        <f>$C$6*(1+$C$7/12)^(A23*12) + $C$4*(((1+$C$7/12)^(A23*12)-1)/($C$7/12))*(1+$C$7/12)</f>
        <v/>
      </c>
      <c r="C23" s="8">
        <f>IF(A23&lt;$C$9, B23, ($C$6*(1+$C$7/12)^($C$9*12) + $C$4*(((1+$C$7/12)^($C$9*12)-1)/($C$7/12))*(1+$C$7/12)) * (1+$C$8) * (1+$C$10/12)^((A23-$C$9)*12) + $C$4*(((1+$C$10/12)^((A23-$C$9)*12)-1)/($C$10/12))*(1+$C$10/12))</f>
        <v/>
      </c>
      <c r="D23" s="8">
        <f>C23-B23</f>
        <v/>
      </c>
    </row>
    <row r="24">
      <c r="A24" s="6" t="n">
        <v>11</v>
      </c>
      <c r="B24" s="8">
        <f>$C$6*(1+$C$7/12)^(A24*12) + $C$4*(((1+$C$7/12)^(A24*12)-1)/($C$7/12))*(1+$C$7/12)</f>
        <v/>
      </c>
      <c r="C24" s="8">
        <f>IF(A24&lt;$C$9, B24, ($C$6*(1+$C$7/12)^($C$9*12) + $C$4*(((1+$C$7/12)^($C$9*12)-1)/($C$7/12))*(1+$C$7/12)) * (1+$C$8) * (1+$C$10/12)^((A24-$C$9)*12) + $C$4*(((1+$C$10/12)^((A24-$C$9)*12)-1)/($C$10/12))*(1+$C$10/12))</f>
        <v/>
      </c>
      <c r="D24" s="8">
        <f>C24-B24</f>
        <v/>
      </c>
    </row>
    <row r="25">
      <c r="A25" s="6" t="n">
        <v>12</v>
      </c>
      <c r="B25" s="8">
        <f>$C$6*(1+$C$7/12)^(A25*12) + $C$4*(((1+$C$7/12)^(A25*12)-1)/($C$7/12))*(1+$C$7/12)</f>
        <v/>
      </c>
      <c r="C25" s="8">
        <f>IF(A25&lt;$C$9, B25, ($C$6*(1+$C$7/12)^($C$9*12) + $C$4*(((1+$C$7/12)^($C$9*12)-1)/($C$7/12))*(1+$C$7/12)) * (1+$C$8) * (1+$C$10/12)^((A25-$C$9)*12) + $C$4*(((1+$C$10/12)^((A25-$C$9)*12)-1)/($C$10/12))*(1+$C$10/12))</f>
        <v/>
      </c>
      <c r="D25" s="8">
        <f>C25-B25</f>
        <v/>
      </c>
    </row>
    <row r="26">
      <c r="A26" s="6" t="n">
        <v>13</v>
      </c>
      <c r="B26" s="8">
        <f>$C$6*(1+$C$7/12)^(A26*12) + $C$4*(((1+$C$7/12)^(A26*12)-1)/($C$7/12))*(1+$C$7/12)</f>
        <v/>
      </c>
      <c r="C26" s="8">
        <f>IF(A26&lt;$C$9, B26, ($C$6*(1+$C$7/12)^($C$9*12) + $C$4*(((1+$C$7/12)^($C$9*12)-1)/($C$7/12))*(1+$C$7/12)) * (1+$C$8) * (1+$C$10/12)^((A26-$C$9)*12) + $C$4*(((1+$C$10/12)^((A26-$C$9)*12)-1)/($C$10/12))*(1+$C$10/12))</f>
        <v/>
      </c>
      <c r="D26" s="8">
        <f>C26-B26</f>
        <v/>
      </c>
    </row>
    <row r="27">
      <c r="A27" s="6" t="n">
        <v>14</v>
      </c>
      <c r="B27" s="8">
        <f>$C$6*(1+$C$7/12)^(A27*12) + $C$4*(((1+$C$7/12)^(A27*12)-1)/($C$7/12))*(1+$C$7/12)</f>
        <v/>
      </c>
      <c r="C27" s="8">
        <f>IF(A27&lt;$C$9, B27, ($C$6*(1+$C$7/12)^($C$9*12) + $C$4*(((1+$C$7/12)^($C$9*12)-1)/($C$7/12))*(1+$C$7/12)) * (1+$C$8) * (1+$C$10/12)^((A27-$C$9)*12) + $C$4*(((1+$C$10/12)^((A27-$C$9)*12)-1)/($C$10/12))*(1+$C$10/12))</f>
        <v/>
      </c>
      <c r="D27" s="8">
        <f>C27-B27</f>
        <v/>
      </c>
    </row>
    <row r="28">
      <c r="A28" s="6" t="n">
        <v>15</v>
      </c>
      <c r="B28" s="8">
        <f>$C$6*(1+$C$7/12)^(A28*12) + $C$4*(((1+$C$7/12)^(A28*12)-1)/($C$7/12))*(1+$C$7/12)</f>
        <v/>
      </c>
      <c r="C28" s="8">
        <f>IF(A28&lt;$C$9, B28, ($C$6*(1+$C$7/12)^($C$9*12) + $C$4*(((1+$C$7/12)^($C$9*12)-1)/($C$7/12))*(1+$C$7/12)) * (1+$C$8) * (1+$C$10/12)^((A28-$C$9)*12) + $C$4*(((1+$C$10/12)^((A28-$C$9)*12)-1)/($C$10/12))*(1+$C$10/12))</f>
        <v/>
      </c>
      <c r="D28" s="8">
        <f>C28-B28</f>
        <v/>
      </c>
    </row>
    <row r="29">
      <c r="A29" s="6" t="n">
        <v>16</v>
      </c>
      <c r="B29" s="8">
        <f>$C$6*(1+$C$7/12)^(A29*12) + $C$4*(((1+$C$7/12)^(A29*12)-1)/($C$7/12))*(1+$C$7/12)</f>
        <v/>
      </c>
      <c r="C29" s="8">
        <f>IF(A29&lt;$C$9, B29, ($C$6*(1+$C$7/12)^($C$9*12) + $C$4*(((1+$C$7/12)^($C$9*12)-1)/($C$7/12))*(1+$C$7/12)) * (1+$C$8) * (1+$C$10/12)^((A29-$C$9)*12) + $C$4*(((1+$C$10/12)^((A29-$C$9)*12)-1)/($C$10/12))*(1+$C$10/12))</f>
        <v/>
      </c>
      <c r="D29" s="8">
        <f>C29-B29</f>
        <v/>
      </c>
    </row>
    <row r="30">
      <c r="A30" s="6" t="n">
        <v>17</v>
      </c>
      <c r="B30" s="8">
        <f>$C$6*(1+$C$7/12)^(A30*12) + $C$4*(((1+$C$7/12)^(A30*12)-1)/($C$7/12))*(1+$C$7/12)</f>
        <v/>
      </c>
      <c r="C30" s="8">
        <f>IF(A30&lt;$C$9, B30, ($C$6*(1+$C$7/12)^($C$9*12) + $C$4*(((1+$C$7/12)^($C$9*12)-1)/($C$7/12))*(1+$C$7/12)) * (1+$C$8) * (1+$C$10/12)^((A30-$C$9)*12) + $C$4*(((1+$C$10/12)^((A30-$C$9)*12)-1)/($C$10/12))*(1+$C$10/12))</f>
        <v/>
      </c>
      <c r="D30" s="8">
        <f>C30-B30</f>
        <v/>
      </c>
    </row>
    <row r="31">
      <c r="A31" s="6" t="n">
        <v>18</v>
      </c>
      <c r="B31" s="8">
        <f>$C$6*(1+$C$7/12)^(A31*12) + $C$4*(((1+$C$7/12)^(A31*12)-1)/($C$7/12))*(1+$C$7/12)</f>
        <v/>
      </c>
      <c r="C31" s="8">
        <f>IF(A31&lt;$C$9, B31, ($C$6*(1+$C$7/12)^($C$9*12) + $C$4*(((1+$C$7/12)^($C$9*12)-1)/($C$7/12))*(1+$C$7/12)) * (1+$C$8) * (1+$C$10/12)^((A31-$C$9)*12) + $C$4*(((1+$C$10/12)^((A31-$C$9)*12)-1)/($C$10/12))*(1+$C$10/12))</f>
        <v/>
      </c>
      <c r="D31" s="8">
        <f>C31-B31</f>
        <v/>
      </c>
    </row>
    <row r="32">
      <c r="A32" s="6" t="n">
        <v>19</v>
      </c>
      <c r="B32" s="8">
        <f>$C$6*(1+$C$7/12)^(A32*12) + $C$4*(((1+$C$7/12)^(A32*12)-1)/($C$7/12))*(1+$C$7/12)</f>
        <v/>
      </c>
      <c r="C32" s="8">
        <f>IF(A32&lt;$C$9, B32, ($C$6*(1+$C$7/12)^($C$9*12) + $C$4*(((1+$C$7/12)^($C$9*12)-1)/($C$7/12))*(1+$C$7/12)) * (1+$C$8) * (1+$C$10/12)^((A32-$C$9)*12) + $C$4*(((1+$C$10/12)^((A32-$C$9)*12)-1)/($C$10/12))*(1+$C$10/12))</f>
        <v/>
      </c>
      <c r="D32" s="8">
        <f>C32-B32</f>
        <v/>
      </c>
    </row>
    <row r="33">
      <c r="A33" s="6" t="n">
        <v>20</v>
      </c>
      <c r="B33" s="8">
        <f>$C$6*(1+$C$7/12)^(A33*12) + $C$4*(((1+$C$7/12)^(A33*12)-1)/($C$7/12))*(1+$C$7/12)</f>
        <v/>
      </c>
      <c r="C33" s="8">
        <f>IF(A33&lt;$C$9, B33, ($C$6*(1+$C$7/12)^($C$9*12) + $C$4*(((1+$C$7/12)^($C$9*12)-1)/($C$7/12))*(1+$C$7/12)) * (1+$C$8) * (1+$C$10/12)^((A33-$C$9)*12) + $C$4*(((1+$C$10/12)^((A33-$C$9)*12)-1)/($C$10/12))*(1+$C$10/12))</f>
        <v/>
      </c>
      <c r="D33" s="8">
        <f>C33-B33</f>
        <v/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18" customWidth="1" min="4" max="4"/>
    <col width="16" customWidth="1" min="5" max="5"/>
  </cols>
  <sheetData>
    <row r="1" ht="26" customHeight="1">
      <c r="A1" s="1" t="inlineStr">
        <is>
          <t>👑 — Plan d'indépendance financière — multi-taux</t>
        </is>
      </c>
    </row>
    <row r="2" ht="18" customHeight="1">
      <c r="A2" s="2" t="inlineStr">
        <is>
          <t>Compare plusieurs taux de retrait et intègre l'inflation pour estimer ton capital cible réel.</t>
        </is>
      </c>
    </row>
    <row r="4">
      <c r="A4" s="3" t="inlineStr">
        <is>
          <t>Dépenses annuelles actuelles (€)</t>
        </is>
      </c>
      <c r="C4" s="9" t="n">
        <v>24000</v>
      </c>
    </row>
    <row r="5">
      <c r="A5" s="3" t="inlineStr">
        <is>
          <t>Inflation annuelle estimée</t>
        </is>
      </c>
      <c r="C5" s="14" t="n">
        <v>0.02</v>
      </c>
    </row>
    <row r="6">
      <c r="A6" s="3" t="inlineStr">
        <is>
          <t>Nombre d'années avant le départ visé</t>
        </is>
      </c>
      <c r="C6" s="4" t="n">
        <v>20</v>
      </c>
    </row>
    <row r="7">
      <c r="A7" s="3" t="inlineStr">
        <is>
          <t>Capital actuel déjà investi (€)</t>
        </is>
      </c>
      <c r="C7" s="9" t="n">
        <v>15000</v>
      </c>
    </row>
    <row r="8">
      <c r="A8" s="3" t="inlineStr">
        <is>
          <t>Versement mensuel actuel (€)</t>
        </is>
      </c>
      <c r="C8" s="9" t="n">
        <v>500</v>
      </c>
    </row>
    <row r="9">
      <c r="A9" s="3" t="inlineStr">
        <is>
          <t>Rendement annuel estimé</t>
        </is>
      </c>
      <c r="C9" s="14" t="n">
        <v>0.06</v>
      </c>
    </row>
    <row r="12">
      <c r="A12" s="3" t="inlineStr">
        <is>
          <t>Dépenses annuelles projetées à la date visée (ajustées de l'inflation)</t>
        </is>
      </c>
      <c r="C12" s="15">
        <f>C4*(1+C5)^C6</f>
        <v/>
      </c>
    </row>
    <row r="15">
      <c r="A15" s="5" t="inlineStr">
        <is>
          <t>Taux de retrait</t>
        </is>
      </c>
      <c r="B15" s="5" t="inlineStr">
        <is>
          <t>Capital cible nécessaire</t>
        </is>
      </c>
      <c r="C15" s="5" t="inlineStr">
        <is>
          <t>Capital projeté (versements actuels)</t>
        </is>
      </c>
      <c r="D15" s="5" t="inlineStr">
        <is>
          <t>Écart</t>
        </is>
      </c>
      <c r="E15" s="5" t="inlineStr">
        <is>
          <t>Objectif atteint ?</t>
        </is>
      </c>
    </row>
    <row r="16">
      <c r="A16" s="7" t="n">
        <v>0.03</v>
      </c>
      <c r="B16" s="8">
        <f>$C$12/A16</f>
        <v/>
      </c>
      <c r="C16" s="8">
        <f>$C$7*(1+$C$9/12)^($C$6*12) + $C$8*(((1+$C$9/12)^($C$6*12)-1)/($C$9/12))*(1+$C$9/12)</f>
        <v/>
      </c>
      <c r="D16" s="8">
        <f>C16-B16</f>
        <v/>
      </c>
      <c r="E16" s="6">
        <f>IF(D16&gt;=0,"✅ Oui","❌ Pas encore")</f>
        <v/>
      </c>
    </row>
    <row r="17">
      <c r="A17" s="7" t="n">
        <v>0.035</v>
      </c>
      <c r="B17" s="8">
        <f>$C$12/A17</f>
        <v/>
      </c>
      <c r="C17" s="8">
        <f>$C$7*(1+$C$9/12)^($C$6*12) + $C$8*(((1+$C$9/12)^($C$6*12)-1)/($C$9/12))*(1+$C$9/12)</f>
        <v/>
      </c>
      <c r="D17" s="8">
        <f>C17-B17</f>
        <v/>
      </c>
      <c r="E17" s="6">
        <f>IF(D17&gt;=0,"✅ Oui","❌ Pas encore")</f>
        <v/>
      </c>
    </row>
    <row r="18">
      <c r="A18" s="7" t="n">
        <v>0.04</v>
      </c>
      <c r="B18" s="8">
        <f>$C$12/A18</f>
        <v/>
      </c>
      <c r="C18" s="8">
        <f>$C$7*(1+$C$9/12)^($C$6*12) + $C$8*(((1+$C$9/12)^($C$6*12)-1)/($C$9/12))*(1+$C$9/12)</f>
        <v/>
      </c>
      <c r="D18" s="8">
        <f>C18-B18</f>
        <v/>
      </c>
      <c r="E18" s="6">
        <f>IF(D18&gt;=0,"✅ Oui","❌ Pas encore")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30" customWidth="1" min="4" max="4"/>
    <col width="22" customWidth="1" min="5" max="5"/>
    <col width="24" customWidth="1" min="6" max="6"/>
  </cols>
  <sheetData>
    <row r="1" ht="26" customHeight="1">
      <c r="A1" s="1" t="inlineStr">
        <is>
          <t>🏆 — Comparateur de véhicules d'épargne belges</t>
        </is>
      </c>
    </row>
    <row r="2" ht="18" customHeight="1">
      <c r="A2" s="2" t="inlineStr">
        <is>
          <t>Compare 3 grandes familles de véhicules sur 20 ans. Hypothèses éditables — vérifie toujours les seuils et taux en vigueur, ils évoluent chaque année.</t>
        </is>
      </c>
    </row>
    <row r="4">
      <c r="A4" s="3" t="inlineStr">
        <is>
          <t>Versement mensuel équivalent (€)</t>
        </is>
      </c>
      <c r="C4" s="4" t="n">
        <v>250</v>
      </c>
    </row>
    <row r="5">
      <c r="A5" s="3" t="inlineStr">
        <is>
          <t>Durée (années)</t>
        </is>
      </c>
      <c r="C5" s="4" t="n">
        <v>20</v>
      </c>
    </row>
    <row r="8">
      <c r="A8" s="5" t="inlineStr">
        <is>
          <t>Véhicule</t>
        </is>
      </c>
      <c r="B8" s="5" t="inlineStr">
        <is>
          <t>Rendement brut estimé</t>
        </is>
      </c>
      <c r="C8" s="5" t="inlineStr">
        <is>
          <t>Frais/taxes annuels estimés</t>
        </is>
      </c>
      <c r="D8" s="5" t="inlineStr">
        <is>
          <t>Avantage fiscal à l'entrée</t>
        </is>
      </c>
      <c r="E8" s="5" t="inlineStr">
        <is>
          <t>Capital brut estimé (20 ans)</t>
        </is>
      </c>
      <c r="F8" s="5" t="inlineStr">
        <is>
          <t>Capital net estimé après frais</t>
        </is>
      </c>
    </row>
    <row r="9">
      <c r="A9" s="6" t="inlineStr">
        <is>
          <t>Compte-titres (ETF)</t>
        </is>
      </c>
      <c r="B9" s="7" t="n">
        <v>0.06</v>
      </c>
      <c r="C9" s="7" t="n">
        <v>0.0065</v>
      </c>
      <c r="D9" s="6" t="inlineStr">
        <is>
          <t>Aucun</t>
        </is>
      </c>
      <c r="E9" s="8">
        <f>$C$4*(((1+((B9-C9)/12))^($C$5*12)-1)/((B9-C9)/12))*(1+((B9-C9)/12))</f>
        <v/>
      </c>
      <c r="F9" s="8">
        <f>E9*(1+0)</f>
        <v/>
      </c>
    </row>
    <row r="10">
      <c r="A10" s="6" t="inlineStr">
        <is>
          <t>Assurance épargne (branche 21)</t>
        </is>
      </c>
      <c r="B10" s="7" t="n">
        <v>0.025</v>
      </c>
      <c r="C10" s="7" t="n">
        <v>0.02</v>
      </c>
      <c r="D10" s="6" t="inlineStr">
        <is>
          <t>Aucun (hors cas spécifiques)</t>
        </is>
      </c>
      <c r="E10" s="8">
        <f>$C$4*(((1+((B10-C10)/12))^($C$5*12)-1)/((B10-C10)/12))*(1+((B10-C10)/12))</f>
        <v/>
      </c>
      <c r="F10" s="8">
        <f>E10*(1+0)</f>
        <v/>
      </c>
    </row>
    <row r="11">
      <c r="A11" s="6" t="inlineStr">
        <is>
          <t>Épargne-pension (3e pilier)</t>
        </is>
      </c>
      <c r="B11" s="7" t="n">
        <v>0.05</v>
      </c>
      <c r="C11" s="7" t="n">
        <v>0.01</v>
      </c>
      <c r="D11" s="6" t="inlineStr">
        <is>
          <t>Réduction d'impôt à l'entrée (indicative)</t>
        </is>
      </c>
      <c r="E11" s="8">
        <f>$C$4*(((1+((B11-C11)/12))^($C$5*12)-1)/((B11-C11)/12))*(1+((B11-C11)/12))</f>
        <v/>
      </c>
      <c r="F11" s="8">
        <f>E11*(1+0.3)</f>
        <v/>
      </c>
    </row>
    <row r="14">
      <c r="A14" s="16" t="inlineStr">
        <is>
          <t>⚠️ Modèle très simplifié à but pédagogique : ne tient pas compte de la fiscalité de sortie (ex. taxe sur l'épargne-pension à 60 ans), des plafonds légaux, ni des frais d'entrée. À utiliser comme point de départ de réflexion, pas comme simulation officielle.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28" customWidth="1" min="4" max="4"/>
    <col width="18" customWidth="1" min="5" max="5"/>
    <col width="20" customWidth="1" min="6" max="6"/>
  </cols>
  <sheetData>
    <row r="1" ht="26" customHeight="1">
      <c r="A1" s="1" t="inlineStr">
        <is>
          <t>🏆 — Plan d'épargne multi-objectifs</t>
        </is>
      </c>
    </row>
    <row r="2" ht="18" customHeight="1">
      <c r="A2" s="2" t="inlineStr">
        <is>
          <t>Renseigne jusqu'à 3 objectifs en parallèle (retraite, achat immobilier, études des enfants…) pour voir le versement mensuel total requis.</t>
        </is>
      </c>
    </row>
    <row r="5">
      <c r="A5" s="5" t="inlineStr">
        <is>
          <t>Objectif</t>
        </is>
      </c>
      <c r="B5" s="5" t="inlineStr">
        <is>
          <t>Montant cible (€)</t>
        </is>
      </c>
      <c r="C5" s="5" t="inlineStr">
        <is>
          <t>Horizon (années)</t>
        </is>
      </c>
      <c r="D5" s="5" t="inlineStr">
        <is>
          <t>Capital déjà épargné pour cet objectif (€)</t>
        </is>
      </c>
      <c r="E5" s="5" t="inlineStr">
        <is>
          <t>Rendement annuel estimé</t>
        </is>
      </c>
      <c r="F5" s="5" t="inlineStr">
        <is>
          <t>Versement mensuel requis</t>
        </is>
      </c>
    </row>
    <row r="6">
      <c r="A6" s="6" t="inlineStr">
        <is>
          <t>Retraite anticipée</t>
        </is>
      </c>
      <c r="B6" s="8" t="n">
        <v>400000</v>
      </c>
      <c r="C6" s="6" t="n">
        <v>25</v>
      </c>
      <c r="D6" s="8" t="n">
        <v>5000</v>
      </c>
      <c r="E6" s="7" t="n">
        <v>0.06</v>
      </c>
      <c r="F6" s="8">
        <f>MAX(0, (B6 - D6*(1+E6/12)^(C6*12)) / ((((1+E6/12)^(C6*12)-1)/(E6/12))*(1+E6/12)))</f>
        <v/>
      </c>
    </row>
    <row r="7">
      <c r="A7" s="6" t="inlineStr">
        <is>
          <t>Apport achat immobilier</t>
        </is>
      </c>
      <c r="B7" s="8" t="n">
        <v>60000</v>
      </c>
      <c r="C7" s="6" t="n">
        <v>6</v>
      </c>
      <c r="D7" s="8" t="n">
        <v>8000</v>
      </c>
      <c r="E7" s="7" t="n">
        <v>0.03</v>
      </c>
      <c r="F7" s="8">
        <f>MAX(0, (B7 - D7*(1+E7/12)^(C7*12)) / ((((1+E7/12)^(C7*12)-1)/(E7/12))*(1+E7/12)))</f>
        <v/>
      </c>
    </row>
    <row r="8">
      <c r="A8" s="6" t="inlineStr">
        <is>
          <t>Études des enfants</t>
        </is>
      </c>
      <c r="B8" s="8" t="n">
        <v>30000</v>
      </c>
      <c r="C8" s="6" t="n">
        <v>15</v>
      </c>
      <c r="D8" s="8" t="n">
        <v>0</v>
      </c>
      <c r="E8" s="7" t="n">
        <v>0.04</v>
      </c>
      <c r="F8" s="8">
        <f>MAX(0, (B8 - D8*(1+E8/12)^(C8*12)) / ((((1+E8/12)^(C8*12)-1)/(E8/12))*(1+E8/12)))</f>
        <v/>
      </c>
    </row>
    <row r="10">
      <c r="A10" s="3" t="inlineStr">
        <is>
          <t>TOTAL versement mensuel requis (tous objectifs)</t>
        </is>
      </c>
      <c r="F10" s="15">
        <f>SUM(F6:F8)</f>
        <v/>
      </c>
    </row>
    <row r="13">
      <c r="A13" s="16" t="inlineStr">
        <is>
          <t>Astuce : si le total dépasse ta capacité d'épargne réelle, priorise — tous les objectifs n'ont pas besoin de démarrer en même temps.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2026-09-16T13:01:09Z</dcterms:created>
  <dcterms:modified xsi:type="dcterms:W3CDTF">2026-09-16T13:01:09Z</dcterms:modified>
</cp:coreProperties>
</file>